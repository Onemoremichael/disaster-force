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eeb88c718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Sources" sheetId="1" r:id="R07adbf83f57f4603"/>
    <x:sheet xmlns:r="http://schemas.openxmlformats.org/officeDocument/2006/relationships" name="Controls" sheetId="2" r:id="R2c935d06f6ff4d37"/>
    <x:sheet xmlns:r="http://schemas.openxmlformats.org/officeDocument/2006/relationships" name="Flood Cases" sheetId="3" r:id="R8b957d20123b4b6e"/>
    <x:sheet xmlns:r="http://schemas.openxmlformats.org/officeDocument/2006/relationships" name="Forecast Action Clock" sheetId="4" r:id="Rf8af5478299b486a"/>
    <x:sheet xmlns:r="http://schemas.openxmlformats.org/officeDocument/2006/relationships" name="Basin Zones" sheetId="5" r:id="R4c1e41ba8af6438e"/>
    <x:sheet xmlns:r="http://schemas.openxmlformats.org/officeDocument/2006/relationships" name="Storage Mass Balance" sheetId="6" r:id="R917d3c27c606422e"/>
    <x:sheet xmlns:r="http://schemas.openxmlformats.org/officeDocument/2006/relationships" name="Pump Families" sheetId="7" r:id="Rbd3b782692bf4e5e"/>
    <x:sheet xmlns:r="http://schemas.openxmlformats.org/officeDocument/2006/relationships" name="Pump Curves Availability" sheetId="8" r:id="R8e86246d87974b08"/>
    <x:sheet xmlns:r="http://schemas.openxmlformats.org/officeDocument/2006/relationships" name="Power Fuel" sheetId="9" r:id="Rae22c753e5be4bb7"/>
    <x:sheet xmlns:r="http://schemas.openxmlformats.org/officeDocument/2006/relationships" name="Intake Debris" sheetId="10" r:id="Rdb2e1d4e1b9c4772"/>
    <x:sheet xmlns:r="http://schemas.openxmlformats.org/officeDocument/2006/relationships" name="Drainage Spine" sheetId="11" r:id="Rf370ad405e3f466e"/>
    <x:sheet xmlns:r="http://schemas.openxmlformats.org/officeDocument/2006/relationships" name="Receiving Discharge" sheetId="12" r:id="R4fb0db0bb47346b6"/>
    <x:sheet xmlns:r="http://schemas.openxmlformats.org/officeDocument/2006/relationships" name="Barrier Geometry Loads" sheetId="13" r:id="R8776a2f1fda3493b"/>
    <x:sheet xmlns:r="http://schemas.openxmlformats.org/officeDocument/2006/relationships" name="Interior Drainage" sheetId="14" r:id="R2c29711a447e4986"/>
    <x:sheet xmlns:r="http://schemas.openxmlformats.org/officeDocument/2006/relationships" name="Breach Growth Arrest" sheetId="15" r:id="R75b51ed248b641a9"/>
    <x:sheet xmlns:r="http://schemas.openxmlformats.org/officeDocument/2006/relationships" name="Rescue Demand Search" sheetId="16" r:id="R341ad081aef1463b"/>
    <x:sheet xmlns:r="http://schemas.openxmlformats.org/officeDocument/2006/relationships" name="Amphibious Cycles" sheetId="17" r:id="Rc088d299c5454899"/>
    <x:sheet xmlns:r="http://schemas.openxmlformats.org/officeDocument/2006/relationships" name="Access Logistics" sheetId="18" r:id="R79ea3aef34194123"/>
    <x:sheet xmlns:r="http://schemas.openxmlformats.org/officeDocument/2006/relationships" name="Earthworks Material" sheetId="19" r:id="R4ffc304ac5a04e61"/>
    <x:sheet xmlns:r="http://schemas.openxmlformats.org/officeDocument/2006/relationships" name="Contamination Treatment" sheetId="20" r:id="R3091673d43bf487d"/>
    <x:sheet xmlns:r="http://schemas.openxmlformats.org/officeDocument/2006/relationships" name="Infrastructure Protection" sheetId="21" r:id="Rfa1701bd692c4eee"/>
    <x:sheet xmlns:r="http://schemas.openxmlformats.org/officeDocument/2006/relationships" name="Deployment Manifest" sheetId="22" r:id="R7108dbbee6cc4ac1"/>
    <x:sheet xmlns:r="http://schemas.openxmlformats.org/officeDocument/2006/relationships" name="Workforce Rotation" sheetId="23" r:id="Rc59f78667e7f40a4"/>
    <x:sheet xmlns:r="http://schemas.openxmlformats.org/officeDocument/2006/relationships" name="Readiness Concurrency" sheetId="24" r:id="R4de5e3716abb4d61"/>
    <x:sheet xmlns:r="http://schemas.openxmlformats.org/officeDocument/2006/relationships" name="Works Carriers" sheetId="25" r:id="Rae9bf5192f6342af"/>
    <x:sheet xmlns:r="http://schemas.openxmlformats.org/officeDocument/2006/relationships" name="Technology Roadmap" sheetId="26" r:id="Rf6b88a30ea85426e"/>
    <x:sheet xmlns:r="http://schemas.openxmlformats.org/officeDocument/2006/relationships" name="Cost RDT&amp;E" sheetId="27" r:id="R6230f7fb78bf49a1"/>
    <x:sheet xmlns:r="http://schemas.openxmlformats.org/officeDocument/2006/relationships" name="Failure Modes" sheetId="28" r:id="R024778e68ff14d9c"/>
    <x:sheet xmlns:r="http://schemas.openxmlformats.org/officeDocument/2006/relationships" name="R3 Evidence Gate" sheetId="29" r:id="Rd6b16c19a7f0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#,##0"/>
    <x:numFmt numFmtId="203" formatCode="#,##0.0"/>
    <x:numFmt numFmtId="204" formatCode="#,##0.00"/>
    <x:numFmt numFmtId="205" formatCode="0%"/>
  </x:numFmts>
  <x:fonts count="8">
    <x:font>
      <x:sz val="11"/>
      <x:name val="Carlito"/>
    </x:font>
    <x:font>
      <x:b/>
      <x:sz val="16"/>
      <x:color rgb="FF172033"/>
      <x:name val="Helvetica Neue"/>
    </x:font>
    <x:font>
      <x:i/>
      <x:sz val="10"/>
      <x:color rgb="FF667085"/>
      <x:name val="Helvetica Neue"/>
    </x:font>
    <x:font>
      <x:b/>
      <x:sz val="10"/>
      <x:color rgb="FFFFFFFF"/>
      <x:name val="Helvetica Neue"/>
    </x:font>
    <x:font>
      <x:b/>
      <x:sz val="10"/>
      <x:color rgb="FF172033"/>
      <x:name val="Helvetica Neue"/>
    </x:font>
    <x:font>
      <x:sz val="10"/>
      <x:color rgb="FF172033"/>
      <x:name val="Helvetica Neue"/>
    </x:font>
    <x:font>
      <x:i/>
      <x:sz val="10"/>
      <x:color rgb="FF172033"/>
      <x:name val="Helvetica Neue"/>
    </x:font>
    <x:font>
      <x:i/>
      <x:sz val="9"/>
      <x:color rgb="FF667085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4F7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203" fontId="5" fillId="3" borderId="0" xfId="0" applyNumberFormat="1" applyFont="1" applyFill="1" applyBorder="1" applyAlignment="1">
      <x:alignment vertical="top"/>
    </x:xf>
    <x:xf numFmtId="0" fontId="4" fillId="4" borderId="5" xfId="0" applyNumberFormat="1" applyFont="1" applyFill="1" applyBorder="1" applyAlignment="1">
      <x:alignment vertical="top"/>
    </x:xf>
    <x:xf numFmtId="0" fontId="4" fillId="4" borderId="6" xfId="0" applyNumberFormat="1" applyFont="1" applyFill="1" applyBorder="1" applyAlignment="1">
      <x:alignment vertical="top"/>
    </x:xf>
    <x:xf numFmtId="0" fontId="4" fillId="4" borderId="7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200" fontId="5" fillId="4" borderId="0" xfId="0" applyNumberFormat="1" applyFont="1" applyFill="1" applyBorder="1"/>
    <x:xf numFmtId="200" fontId="5" fillId="4" borderId="0" xfId="0" applyNumberFormat="1" applyFont="1" applyFill="1" applyBorder="1" applyAlignment="1">
      <x:alignment vertical="top"/>
    </x:xf>
    <x:xf numFmtId="200" fontId="5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/>
    <x:xf numFmtId="201" fontId="5" fillId="4" borderId="0" xfId="0" applyNumberFormat="1" applyFont="1" applyFill="1" applyBorder="1"/>
    <x:xf numFmtId="201" fontId="5" fillId="4" borderId="0" xfId="0" applyNumberFormat="1" applyFont="1" applyFill="1" applyBorder="1" applyAlignment="1">
      <x:alignment vertical="top"/>
    </x:xf>
    <x:xf numFmtId="201" fontId="5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4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4" fontId="5" fillId="4" borderId="0" xfId="0" applyNumberFormat="1" applyFont="1" applyFill="1" applyBorder="1"/>
    <x:xf numFmtId="202" fontId="5" fillId="4" borderId="0" xfId="0" applyNumberFormat="1" applyFont="1" applyFill="1" applyBorder="1"/>
    <x:xf numFmtId="200" fontId="5" fillId="0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4" fontId="5" fillId="4" borderId="0" xfId="0" applyNumberFormat="1" applyFont="1" applyFill="1" applyBorder="1" applyAlignment="1">
      <x:alignment vertical="top"/>
    </x:xf>
    <x:xf numFmtId="202" fontId="5" fillId="4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204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5" fontId="0" fillId="4" borderId="0" xfId="0" applyNumberFormat="1" applyFont="1" applyFill="1" applyBorder="1"/>
    <x:xf numFmtId="205" fontId="5" fillId="4" borderId="0" xfId="0" applyNumberFormat="1" applyFont="1" applyFill="1" applyBorder="1"/>
    <x:xf numFmtId="205" fontId="5" fillId="4" borderId="0" xfId="0" applyNumberFormat="1" applyFont="1" applyFill="1" applyBorder="1" applyAlignment="1">
      <x:alignment vertical="top"/>
    </x:xf>
    <x:xf numFmtId="205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fb5f37f404516" /><Relationship Type="http://schemas.openxmlformats.org/officeDocument/2006/relationships/theme" Target="/xl/theme/theme1.xml" Id="R510816b7277c48a1" /><Relationship Type="http://schemas.openxmlformats.org/officeDocument/2006/relationships/sharedStrings" Target="/xl/sharedStrings.xml" Id="R3e7d76e4f8ac415e" /><Relationship Type="http://schemas.openxmlformats.org/officeDocument/2006/relationships/worksheet" Target="/xl/worksheets/sheet1.xml" Id="R07adbf83f57f4603" /><Relationship Type="http://schemas.openxmlformats.org/officeDocument/2006/relationships/worksheet" Target="/xl/worksheets/sheet2.xml" Id="R2c935d06f6ff4d37" /><Relationship Type="http://schemas.openxmlformats.org/officeDocument/2006/relationships/worksheet" Target="/xl/worksheets/sheet3.xml" Id="R8b957d20123b4b6e" /><Relationship Type="http://schemas.openxmlformats.org/officeDocument/2006/relationships/worksheet" Target="/xl/worksheets/sheet4.xml" Id="Rf8af5478299b486a" /><Relationship Type="http://schemas.openxmlformats.org/officeDocument/2006/relationships/worksheet" Target="/xl/worksheets/sheet5.xml" Id="R4c1e41ba8af6438e" /><Relationship Type="http://schemas.openxmlformats.org/officeDocument/2006/relationships/worksheet" Target="/xl/worksheets/sheet6.xml" Id="R917d3c27c606422e" /><Relationship Type="http://schemas.openxmlformats.org/officeDocument/2006/relationships/worksheet" Target="/xl/worksheets/sheet7.xml" Id="Rbd3b782692bf4e5e" /><Relationship Type="http://schemas.openxmlformats.org/officeDocument/2006/relationships/worksheet" Target="/xl/worksheets/sheet8.xml" Id="R8e86246d87974b08" /><Relationship Type="http://schemas.openxmlformats.org/officeDocument/2006/relationships/worksheet" Target="/xl/worksheets/sheet9.xml" Id="Rae22c753e5be4bb7" /><Relationship Type="http://schemas.openxmlformats.org/officeDocument/2006/relationships/worksheet" Target="/xl/worksheets/sheet10.xml" Id="Rdb2e1d4e1b9c4772" /><Relationship Type="http://schemas.openxmlformats.org/officeDocument/2006/relationships/worksheet" Target="/xl/worksheets/sheet11.xml" Id="Rf370ad405e3f466e" /><Relationship Type="http://schemas.openxmlformats.org/officeDocument/2006/relationships/worksheet" Target="/xl/worksheets/sheet12.xml" Id="R4fb0db0bb47346b6" /><Relationship Type="http://schemas.openxmlformats.org/officeDocument/2006/relationships/worksheet" Target="/xl/worksheets/sheet13.xml" Id="R8776a2f1fda3493b" /><Relationship Type="http://schemas.openxmlformats.org/officeDocument/2006/relationships/worksheet" Target="/xl/worksheets/sheet14.xml" Id="R2c29711a447e4986" /><Relationship Type="http://schemas.openxmlformats.org/officeDocument/2006/relationships/worksheet" Target="/xl/worksheets/sheet15.xml" Id="R75b51ed248b641a9" /><Relationship Type="http://schemas.openxmlformats.org/officeDocument/2006/relationships/worksheet" Target="/xl/worksheets/sheet16.xml" Id="R341ad081aef1463b" /><Relationship Type="http://schemas.openxmlformats.org/officeDocument/2006/relationships/worksheet" Target="/xl/worksheets/sheet17.xml" Id="Rc088d299c5454899" /><Relationship Type="http://schemas.openxmlformats.org/officeDocument/2006/relationships/worksheet" Target="/xl/worksheets/sheet18.xml" Id="R79ea3aef34194123" /><Relationship Type="http://schemas.openxmlformats.org/officeDocument/2006/relationships/worksheet" Target="/xl/worksheets/sheet19.xml" Id="R4ffc304ac5a04e61" /><Relationship Type="http://schemas.openxmlformats.org/officeDocument/2006/relationships/worksheet" Target="/xl/worksheets/sheet20.xml" Id="R3091673d43bf487d" /><Relationship Type="http://schemas.openxmlformats.org/officeDocument/2006/relationships/worksheet" Target="/xl/worksheets/sheet21.xml" Id="Rfa1701bd692c4eee" /><Relationship Type="http://schemas.openxmlformats.org/officeDocument/2006/relationships/worksheet" Target="/xl/worksheets/sheet22.xml" Id="R7108dbbee6cc4ac1" /><Relationship Type="http://schemas.openxmlformats.org/officeDocument/2006/relationships/worksheet" Target="/xl/worksheets/sheet23.xml" Id="Rc59f78667e7f40a4" /><Relationship Type="http://schemas.openxmlformats.org/officeDocument/2006/relationships/worksheet" Target="/xl/worksheets/sheet24.xml" Id="R4de5e3716abb4d61" /><Relationship Type="http://schemas.openxmlformats.org/officeDocument/2006/relationships/worksheet" Target="/xl/worksheets/sheet25.xml" Id="Rae9bf5192f6342af" /><Relationship Type="http://schemas.openxmlformats.org/officeDocument/2006/relationships/worksheet" Target="/xl/worksheets/sheet26.xml" Id="Rf6b88a30ea85426e" /><Relationship Type="http://schemas.openxmlformats.org/officeDocument/2006/relationships/worksheet" Target="/xl/worksheets/sheet27.xml" Id="R6230f7fb78bf49a1" /><Relationship Type="http://schemas.openxmlformats.org/officeDocument/2006/relationships/worksheet" Target="/xl/worksheets/sheet28.xml" Id="R024778e68ff14d9c" /><Relationship Type="http://schemas.openxmlformats.org/officeDocument/2006/relationships/worksheet" Target="/xl/worksheets/sheet29.xml" Id="Rd6b16c19a7f04b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52086bcffb4d4b" /><Relationship Type="http://schemas.openxmlformats.org/officeDocument/2006/relationships/chart" Target="/xl/drawings/charts/chart2.xml" Id="R2b3de8da93ec4f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Basin storage remaining by 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Storage remaining</c:v>
          </c:tx>
          <c:marker>
            <c:symbol val="none"/>
          </c:marker>
          <c:cat>
            <c:strRef>
              <c:f>'Summary &amp; Sources'!$F$5:$F$50</c:f>
              <c:strCache>
                <c:ptCount val="0"/>
              </c:strCache>
            </c:strRef>
          </c:cat>
          <c:val>
            <c:numRef>
              <c:f>'Summary &amp; Sources'!$G$5:$G$50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Hydraulic capacity by constraint (m³/s)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Capacity (m³/s)</c:v>
          </c:tx>
          <c:cat>
            <c:strRef>
              <c:f>'Summary &amp; Sources'!$I$5:$I$8</c:f>
              <c:strCache>
                <c:ptCount val="0"/>
              </c:strCache>
            </c:strRef>
          </c:cat>
          <c:val>
            <c:numRef>
              <c:f>'Summary &amp; Sources'!$J$5:$J$8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52086bcffb4d4b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3de8da93ec4f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40c34d1e34443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7" hidden="0" customWidth="1"/>
    <x:col min="4" max="4" width="38" hidden="0" customWidth="1"/>
    <x:col min="5" max="5" width="3" hidden="0" customWidth="1"/>
    <x:col min="6" max="6" width="10" hidden="0" customWidth="1"/>
    <x:col min="7" max="7" width="18" hidden="0" customWidth="1"/>
    <x:col min="8" max="8" width="3" hidden="0" customWidth="1"/>
    <x:col min="9" max="9" width="24" hidden="0" customWidth="1"/>
    <x:col min="10" max="10" width="20" hidden="0" customWidth="1"/>
    <x:col min="11" max="11" width="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4" customHeight="1">
      <x:c r="A1" s="52" t="str">
        <x:v>HCG-100 configuration summary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</x:row>
    <x:row r="2" ht="28" customHeight="1">
      <x:c r="A2" s="38" t="str">
        <x:v>Baseline: Inland HCG-100 against a trapped urban basin. Blue cells are calculated outputs; yellow cells elsewhere are editable assumptions. No result is a field-performance claim.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</x:row>
    <x:row r="4">
      <x:c r="A4" s="40" t="str">
        <x:v>Decision measure</x:v>
      </x:c>
      <x:c r="B4" s="41" t="str">
        <x:v>Value</x:v>
      </x:c>
      <x:c r="C4" s="41" t="str">
        <x:v>Unit</x:v>
      </x:c>
      <x:c r="D4" s="42" t="str">
        <x:v>Interpretation</x:v>
      </x:c>
      <x:c r="E4" s="54"/>
      <x:c r="F4" s="40" t="str">
        <x:v>Day</x:v>
      </x:c>
      <x:c r="G4" s="42" t="str">
        <x:v>Storage remaining</x:v>
      </x:c>
      <x:c r="H4" s="54"/>
      <x:c r="I4" s="40" t="str">
        <x:v>Constraint</x:v>
      </x:c>
      <x:c r="J4" s="42" t="str">
        <x:v>Capacity (m³/s)</x:v>
      </x:c>
      <x:c r="K4" s="54"/>
      <x:c r="L4" s="54"/>
      <x:c r="M4" s="54"/>
      <x:c r="N4" s="54"/>
      <x:c r="O4" s="54"/>
      <x:c r="P4" s="54"/>
      <x:c r="Q4" s="54"/>
      <x:c r="R4" s="54"/>
      <x:c r="S4" s="54"/>
      <x:c r="T4" s="54"/>
    </x:row>
    <x:row r="5">
      <x:c r="A5" s="54" t="str">
        <x:v>Formation state</x:v>
      </x:c>
      <x:c r="B5" s="63" t="str">
        <x:f>'Controls'!$C$5</x:f>
        <x:v>Inland HCG-100</x:v>
      </x:c>
      <x:c r="C5" s="54" t="str">
        <x:v>case</x:v>
      </x:c>
      <x:c r="D5" s="54" t="str">
        <x:v>Selected package</x:v>
      </x:c>
      <x:c r="E5" s="54"/>
      <x:c r="F5" s="63" t="n">
        <x:f>'Storage Mass Balance'!$A$5</x:f>
        <x:v>0</x:v>
      </x:c>
      <x:c r="G5" s="92" t="n">
        <x:f>'Storage Mass Balance'!$L$5</x:f>
        <x:v>0.98150896</x:v>
      </x:c>
      <x:c r="H5" s="54"/>
      <x:c r="I5" s="63" t="str">
        <x:f>'Pump Curves Availability'!$A$5</x:f>
        <x:v>Pump and intake</x:v>
      </x:c>
      <x:c r="J5" s="63" t="n">
        <x:f>'Pump Curves Availability'!$B$5</x:f>
        <x:v>36.551249999999996</x:v>
      </x:c>
      <x:c r="K5" s="54"/>
      <x:c r="L5" s="54"/>
      <x:c r="M5" s="54"/>
      <x:c r="N5" s="54"/>
      <x:c r="O5" s="54"/>
      <x:c r="P5" s="54"/>
      <x:c r="Q5" s="54"/>
      <x:c r="R5" s="54"/>
      <x:c r="S5" s="54"/>
      <x:c r="T5" s="54"/>
    </x:row>
    <x:row r="6">
      <x:c r="A6" s="54" t="str">
        <x:v>Flood case</x:v>
      </x:c>
      <x:c r="B6" s="63" t="str">
        <x:f>'Controls'!$C$6</x:f>
        <x:v>Trapped urban basin</x:v>
      </x:c>
      <x:c r="C6" s="54" t="str">
        <x:v>case</x:v>
      </x:c>
      <x:c r="D6" s="54" t="str">
        <x:v>Selected hydraulic case</x:v>
      </x:c>
      <x:c r="E6" s="54"/>
      <x:c r="F6" s="63" t="n">
        <x:f>'Storage Mass Balance'!$A$6</x:f>
        <x:v>1</x:v>
      </x:c>
      <x:c r="G6" s="92" t="n">
        <x:f>'Storage Mass Balance'!$L$6</x:f>
        <x:v>0.96100192</x:v>
      </x:c>
      <x:c r="H6" s="54"/>
      <x:c r="I6" s="63" t="str">
        <x:f>'Pump Curves Availability'!$A$6</x:f>
        <x:v>Drainage Spine</x:v>
      </x:c>
      <x:c r="J6" s="63" t="n">
        <x:f>'Pump Curves Availability'!$B$6</x:f>
        <x:v>113.39409221073625</x:v>
      </x:c>
      <x:c r="K6" s="54"/>
      <x:c r="L6" s="54"/>
      <x:c r="M6" s="54"/>
      <x:c r="N6" s="54"/>
      <x:c r="O6" s="54"/>
      <x:c r="P6" s="54"/>
      <x:c r="Q6" s="54"/>
      <x:c r="R6" s="54"/>
      <x:c r="S6" s="54"/>
      <x:c r="T6" s="54"/>
    </x:row>
    <x:row r="7">
      <x:c r="A7" s="54" t="str">
        <x:v>P50 complete action</x:v>
      </x:c>
      <x:c r="B7" s="63" t="n">
        <x:f>'Forecast Action Clock'!$B$16</x:f>
        <x:v>24</x:v>
      </x:c>
      <x:c r="C7" s="54" t="str">
        <x:v>hours</x:v>
      </x:c>
      <x:c r="D7" s="54" t="str">
        <x:v>Median assumed clock</x:v>
      </x:c>
      <x:c r="E7" s="54"/>
      <x:c r="F7" s="63" t="n">
        <x:f>'Storage Mass Balance'!$A$7</x:f>
        <x:v>2</x:v>
      </x:c>
      <x:c r="G7" s="92" t="n">
        <x:f>'Storage Mass Balance'!$L$7</x:f>
        <x:v>0.93862</x:v>
      </x:c>
      <x:c r="H7" s="54"/>
      <x:c r="I7" s="63" t="str">
        <x:f>'Pump Curves Availability'!$A$7</x:f>
        <x:v>Receiving water</x:v>
      </x:c>
      <x:c r="J7" s="63" t="n">
        <x:f>'Pump Curves Availability'!$B$7</x:f>
        <x:v>76.95</x:v>
      </x:c>
      <x:c r="K7" s="54"/>
      <x:c r="L7" s="54"/>
      <x:c r="M7" s="54"/>
      <x:c r="N7" s="54"/>
      <x:c r="O7" s="54"/>
      <x:c r="P7" s="54"/>
      <x:c r="Q7" s="54"/>
      <x:c r="R7" s="54"/>
      <x:c r="S7" s="54"/>
      <x:c r="T7" s="54"/>
    </x:row>
    <x:row r="8">
      <x:c r="A8" s="54" t="str">
        <x:v>P90 complete action</x:v>
      </x:c>
      <x:c r="B8" s="63" t="n">
        <x:f>'Forecast Action Clock'!$B$17</x:f>
        <x:v>48</x:v>
      </x:c>
      <x:c r="C8" s="54" t="str">
        <x:v>hours</x:v>
      </x:c>
      <x:c r="D8" s="54" t="str">
        <x:v>Tail assumed clock</x:v>
      </x:c>
      <x:c r="E8" s="54"/>
      <x:c r="F8" s="63" t="n">
        <x:f>'Storage Mass Balance'!$A$8</x:f>
        <x:v>3</x:v>
      </x:c>
      <x:c r="G8" s="92" t="n">
        <x:f>'Storage Mass Balance'!$L$8</x:f>
        <x:v>0.9144944416</x:v>
      </x:c>
      <x:c r="H8" s="54"/>
      <x:c r="I8" s="63" t="str">
        <x:f>'Pump Curves Availability'!$A$8</x:f>
        <x:v>Power</x:v>
      </x:c>
      <x:c r="J8" s="63" t="n">
        <x:f>'Pump Curves Availability'!$B$8</x:f>
        <x:v>167.1763506625892</x:v>
      </x:c>
      <x:c r="K8" s="54"/>
      <x:c r="L8" s="54"/>
      <x:c r="M8" s="54"/>
      <x:c r="N8" s="54"/>
      <x:c r="O8" s="54"/>
      <x:c r="P8" s="54"/>
      <x:c r="Q8" s="54"/>
      <x:c r="R8" s="54"/>
      <x:c r="S8" s="54"/>
      <x:c r="T8" s="54"/>
    </x:row>
    <x:row r="9">
      <x:c r="A9" s="54" t="str">
        <x:v>Modeled action before threshold</x:v>
      </x:c>
      <x:c r="B9" s="67" t="n">
        <x:f>'Forecast Action Clock'!$B$20</x:f>
        <x:v>0.5</x:v>
      </x:c>
      <x:c r="C9" s="54" t="str">
        <x:v>probability</x:v>
      </x:c>
      <x:c r="D9" s="54" t="str">
        <x:v>Logistic approximation</x:v>
      </x:c>
      <x:c r="E9" s="54"/>
      <x:c r="F9" s="63" t="n">
        <x:f>'Storage Mass Balance'!$A$9</x:f>
        <x:v>4</x:v>
      </x:c>
      <x:c r="G9" s="92" t="n">
        <x:f>'Storage Mass Balance'!$L$9</x:f>
        <x:v>0.888747299488</x:v>
      </x:c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</x:row>
    <x:row r="10">
      <x:c r="A10" s="54" t="str">
        <x:v>Initial basin storage</x:v>
      </x:c>
      <x:c r="B10" s="63" t="n">
        <x:f>'Storage Mass Balance'!$B$55</x:f>
        <x:v>75000000</x:v>
      </x:c>
      <x:c r="C10" s="54" t="str">
        <x:v>m³</x:v>
      </x:c>
      <x:c r="D10" s="54" t="str">
        <x:v>Case volume</x:v>
      </x:c>
      <x:c r="E10" s="54"/>
      <x:c r="F10" s="63" t="n">
        <x:f>'Storage Mass Balance'!$A$10</x:f>
        <x:v>5</x:v>
      </x:c>
      <x:c r="G10" s="92" t="n">
        <x:f>'Storage Mass Balance'!$L$10</x:f>
        <x:v>0.8614920845238401</x:v>
      </x:c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</x:row>
    <x:row r="11">
      <x:c r="A11" s="54" t="str">
        <x:v>Effective group pumping</x:v>
      </x:c>
      <x:c r="B11" s="63" t="n">
        <x:f>'Receiving Discharge'!$B$13</x:f>
        <x:v>36.551249999999996</x:v>
      </x:c>
      <x:c r="C11" s="54" t="str">
        <x:v>m³/s</x:v>
      </x:c>
      <x:c r="D11" s="54" t="str">
        <x:v>Minimum shared capacity</x:v>
      </x:c>
      <x:c r="E11" s="54"/>
      <x:c r="F11" s="63" t="n">
        <x:f>'Storage Mass Balance'!$A$11</x:f>
        <x:v>6</x:v>
      </x:c>
      <x:c r="G11" s="92" t="n">
        <x:f>'Storage Mass Balance'!$L$11</x:f>
        <x:v>0.8328343618071713</x:v>
      </x:c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</x:row>
    <x:row r="12">
      <x:c r="A12" s="54" t="str">
        <x:v>Day-0 net removal</x:v>
      </x:c>
      <x:c r="B12" s="63" t="n">
        <x:f>'Storage Mass Balance'!$B$56</x:f>
        <x:v>16.051249999999996</x:v>
      </x:c>
      <x:c r="C12" s="54" t="str">
        <x:v>m³/s</x:v>
      </x:c>
      <x:c r="D12" s="54" t="str">
        <x:v>Outflow less inflow</x:v>
      </x:c>
      <x:c r="E12" s="54"/>
      <x:c r="F12" s="63" t="n">
        <x:f>'Storage Mass Balance'!$A$12</x:f>
        <x:v>7</x:v>
      </x:c>
      <x:c r="G12" s="92" t="n">
        <x:f>'Storage Mass Balance'!$L$12</x:f>
        <x:v>0.8028723068806694</x:v>
      </x:c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</x:row>
    <x:row r="13">
      <x:c r="A13" s="54" t="str">
        <x:v>First zero-storage day</x:v>
      </x:c>
      <x:c r="B13" s="63" t="n">
        <x:f>'Storage Mass Balance'!$B$57</x:f>
        <x:v>28</x:v>
      </x:c>
      <x:c r="C13" s="54" t="str">
        <x:v>days</x:v>
      </x:c>
      <x:c r="D13" s="54" t="str">
        <x:v>Blank if not drained in 45 days</x:v>
      </x:c>
      <x:c r="E13" s="54"/>
      <x:c r="F13" s="63" t="n">
        <x:f>'Storage Mass Balance'!$A$13</x:f>
        <x:v>8</x:v>
      </x:c>
      <x:c r="G13" s="92" t="n">
        <x:f>'Storage Mass Balance'!$L$13</x:f>
        <x:v>0.7716972229990225</x:v>
      </x:c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</x:row>
    <x:row r="14">
      <x:c r="A14" s="54" t="str">
        <x:v>Pump input power</x:v>
      </x:c>
      <x:c r="B14" s="63" t="n">
        <x:f>'Power Fuel'!$B$8</x:f>
        <x:v>6.559166387195122</x:v>
      </x:c>
      <x:c r="C14" s="54" t="str">
        <x:v>MW</x:v>
      </x:c>
      <x:c r="D14" s="54" t="str">
        <x:v>At effective flow and case head</x:v>
      </x:c>
      <x:c r="E14" s="54"/>
      <x:c r="F14" s="63" t="n">
        <x:f>'Storage Mass Balance'!$A$14</x:f>
        <x:v>9</x:v>
      </x:c>
      <x:c r="G14" s="92" t="n">
        <x:f>'Storage Mass Balance'!$L$14</x:f>
        <x:v>0.7393940221890909</x:v>
      </x:c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</x:row>
    <x:row r="15">
      <x:c r="A15" s="54" t="str">
        <x:v>Required installed power</x:v>
      </x:c>
      <x:c r="B15" s="63" t="n">
        <x:f>'Power Fuel'!$B$12</x:f>
        <x:v>9.018853782393293</x:v>
      </x:c>
      <x:c r="C15" s="54" t="str">
        <x:v>MW</x:v>
      </x:c>
      <x:c r="D15" s="54" t="str">
        <x:v>Includes auxiliaries and reserve</x:v>
      </x:c>
      <x:c r="E15" s="54"/>
      <x:c r="F15" s="63" t="n">
        <x:f>'Storage Mass Balance'!$A$15</x:f>
        <x:v>10</x:v>
      </x:c>
      <x:c r="G15" s="92" t="n">
        <x:f>'Storage Mass Balance'!$L$15</x:f>
        <x:v>0.7060416726358546</x:v>
      </x:c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</x:row>
    <x:row r="16">
      <x:c r="A16" s="54" t="str">
        <x:v>Daily liquid fuel</x:v>
      </x:c>
      <x:c r="B16" s="63" t="n">
        <x:f>'Power Fuel'!$I$8</x:f>
        <x:v>7218.945543735323</x:v>
      </x:c>
      <x:c r="C16" s="54" t="str">
        <x:v>gal/day</x:v>
      </x:c>
      <x:c r="D16" s="54" t="str">
        <x:v>At selected liquid share</x:v>
      </x:c>
      <x:c r="E16" s="54"/>
      <x:c r="F16" s="63" t="n">
        <x:f>'Storage Mass Balance'!$A$16</x:f>
        <x:v>11</x:v>
      </x:c>
      <x:c r="G16" s="92" t="n">
        <x:f>'Storage Mass Balance'!$L$16</x:f>
        <x:v>0.6717136147513448</x:v>
      </x:c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</x:row>
    <x:row r="17">
      <x:c r="A17" s="54" t="str">
        <x:v>Drainage Spine mass</x:v>
      </x:c>
      <x:c r="B17" s="63" t="n">
        <x:f>'Drainage Spine'!$I$10</x:f>
        <x:v>27600</x:v>
      </x:c>
      <x:c r="C17" s="54" t="str">
        <x:v>t</x:v>
      </x:c>
      <x:c r="D17" s="54" t="str">
        <x:v>Pipe/path material only</x:v>
      </x:c>
      <x:c r="E17" s="54"/>
      <x:c r="F17" s="63" t="n">
        <x:f>'Storage Mass Balance'!$A$17</x:f>
        <x:v>12</x:v>
      </x:c>
      <x:c r="G17" s="92" t="n">
        <x:f>'Storage Mass Balance'!$L$17</x:f>
        <x:v>0.6364781481187507</x:v>
      </x:c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</x:row>
    <x:row r="18">
      <x:c r="A18" s="54" t="str">
        <x:v>Barrier deployable length</x:v>
      </x:c>
      <x:c r="B18" s="63" t="n">
        <x:f>'Barrier Geometry Loads'!$C$10</x:f>
        <x:v>20</x:v>
      </x:c>
      <x:c r="C18" s="54" t="str">
        <x:v>km</x:v>
      </x:c>
      <x:c r="D18" s="54" t="str">
        <x:v>Formation/case minimum</x:v>
      </x:c>
      <x:c r="E18" s="54"/>
      <x:c r="F18" s="63" t="n">
        <x:f>'Storage Mass Balance'!$A$18</x:f>
        <x:v>13</x:v>
      </x:c>
      <x:c r="G18" s="92" t="n">
        <x:f>'Storage Mass Balance'!$L$18</x:f>
        <x:v>0.6003987913504382</x:v>
      </x:c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</x:row>
    <x:row r="19">
      <x:c r="A19" s="54" t="str">
        <x:v>Barrier hold screen</x:v>
      </x:c>
      <x:c r="B19" s="67" t="n">
        <x:f>'Barrier Geometry Loads'!$N$10</x:f>
        <x:v>0.9185000000000001</x:v>
      </x:c>
      <x:c r="C19" s="54" t="str">
        <x:v>probability</x:v>
      </x:c>
      <x:c r="D19" s="54" t="str">
        <x:v>Weighted assumption</x:v>
      </x:c>
      <x:c r="E19" s="54"/>
      <x:c r="F19" s="63" t="n">
        <x:f>'Storage Mass Balance'!$A$19</x:f>
        <x:v>14</x:v>
      </x:c>
      <x:c r="G19" s="92" t="n">
        <x:f>'Storage Mass Balance'!$L$19</x:f>
        <x:v>0.5635346167559075</x:v>
      </x:c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</x:row>
    <x:row r="20">
      <x:c r="A20" s="54" t="str">
        <x:v>Interior drainage margin</x:v>
      </x:c>
      <x:c r="B20" s="63" t="n">
        <x:f>'Interior Drainage'!$B$13</x:f>
        <x:v>-14.006201388888892</x:v>
      </x:c>
      <x:c r="C20" s="54" t="str">
        <x:v>m³/s</x:v>
      </x:c>
      <x:c r="D20" s="54" t="str">
        <x:v>Positive is spare</x:v>
      </x:c>
      <x:c r="E20" s="54"/>
      <x:c r="F20" s="63" t="n">
        <x:f>'Storage Mass Balance'!$A$20</x:f>
        <x:v>15</x:v>
      </x:c>
      <x:c r="G20" s="92" t="n">
        <x:f>'Storage Mass Balance'!$L$20</x:f>
        <x:v>0.5259405615829941</x:v>
      </x:c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</x:row>
    <x:row r="21">
      <x:c r="A21" s="54" t="str">
        <x:v>Initial breach flow</x:v>
      </x:c>
      <x:c r="B21" s="63" t="n">
        <x:f>'Breach Growth Arrest'!$B$8</x:f>
        <x:v>0</x:v>
      </x:c>
      <x:c r="C21" s="54" t="str">
        <x:v>m³/s</x:v>
      </x:c>
      <x:c r="D21" s="54" t="str">
        <x:v>Simplified screen</x:v>
      </x:c>
      <x:c r="E21" s="54"/>
      <x:c r="F21" s="63" t="n">
        <x:f>'Storage Mass Balance'!$A$21</x:f>
        <x:v>16</x:v>
      </x:c>
      <x:c r="G21" s="92" t="n">
        <x:f>'Storage Mass Balance'!$L$21</x:f>
        <x:v>0.4876677174721845</x:v>
      </x:c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</x:row>
    <x:row r="22">
      <x:c r="A22" s="54" t="str">
        <x:v>People moved per day</x:v>
      </x:c>
      <x:c r="B22" s="63" t="n">
        <x:f>'Amphibious Cycles'!$J$11</x:f>
        <x:v>15315.2</x:v>
      </x:c>
      <x:c r="C22" s="54" t="str">
        <x:v>people/day</x:v>
      </x:c>
      <x:c r="D22" s="54" t="str">
        <x:v>Cycle and suitability screen</x:v>
      </x:c>
      <x:c r="E22" s="54"/>
      <x:c r="F22" s="63" t="n">
        <x:f>'Storage Mass Balance'!$A$22</x:f>
        <x:v>17</x:v>
      </x:c>
      <x:c r="G22" s="92" t="n">
        <x:f>'Storage Mass Balance'!$L$22</x:f>
        <x:v>0.4487635996491316</x:v>
      </x:c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</x:row>
    <x:row r="23">
      <x:c r="A23" s="54" t="str">
        <x:v>Rescue clearance days</x:v>
      </x:c>
      <x:c r="B23" s="63" t="n">
        <x:f>'Amphibious Cycles'!$B$18</x:f>
        <x:v>2.611784371082323</x:v>
      </x:c>
      <x:c r="C23" s="54" t="str">
        <x:v>days</x:v>
      </x:c>
      <x:c r="D23" s="54" t="str">
        <x:v>Excludes search bottleneck</x:v>
      </x:c>
      <x:c r="E23" s="54"/>
      <x:c r="F23" s="63" t="n">
        <x:f>'Storage Mass Balance'!$A$23</x:f>
        <x:v>18</x:v>
      </x:c>
      <x:c r="G23" s="92" t="n">
        <x:f>'Storage Mass Balance'!$L$23</x:f>
        <x:v>0.4092723972736924</x:v>
      </x:c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</x:row>
    <x:row r="24">
      <x:c r="A24" s="54" t="str">
        <x:v>Wet-gap cargo margin</x:v>
      </x:c>
      <x:c r="B24" s="63" t="n">
        <x:f>'Access Logistics'!$B$10</x:f>
        <x:v>1902.7999999999993</x:v>
      </x:c>
      <x:c r="C24" s="54" t="str">
        <x:v>t/day</x:v>
      </x:c>
      <x:c r="D24" s="54" t="str">
        <x:v>Throughput less demand</x:v>
      </x:c>
      <x:c r="E24" s="54"/>
      <x:c r="F24" s="63" t="n">
        <x:f>'Storage Mass Balance'!$A$24</x:f>
        <x:v>19</x:v>
      </x:c>
      <x:c r="G24" s="92" t="n">
        <x:f>'Storage Mass Balance'!$L$24</x:f>
        <x:v>0.36923520626453393</x:v>
      </x:c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</x:row>
    <x:row r="25">
      <x:c r="A25" s="54" t="str">
        <x:v>Earthwork completion</x:v>
      </x:c>
      <x:c r="B25" s="63" t="n">
        <x:f>'Earthworks Material'!$D$16</x:f>
        <x:v>8.550612244897959</x:v>
      </x:c>
      <x:c r="C25" s="54" t="str">
        <x:v>days</x:v>
      </x:c>
      <x:c r="D25" s="54" t="str">
        <x:v>Competing material flow</x:v>
      </x:c>
      <x:c r="E25" s="54"/>
      <x:c r="F25" s="63" t="n">
        <x:f>'Storage Mass Balance'!$A$25</x:f>
        <x:v>20</x:v>
      </x:c>
      <x:c r="G25" s="92" t="n">
        <x:f>'Storage Mass Balance'!$L$25</x:f>
        <x:v>0.32869024582601664</x:v>
      </x:c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</x:row>
    <x:row r="26">
      <x:c r="A26" s="54" t="str">
        <x:v>High-hazard treatment utilization</x:v>
      </x:c>
      <x:c r="B26" s="67" t="n">
        <x:f>'Contamination Treatment'!$B$11</x:f>
        <x:v>0.04421239199999999</x:v>
      </x:c>
      <x:c r="C26" s="54" t="str">
        <x:v>ratio</x:v>
      </x:c>
      <x:c r="D26" s="54" t="str">
        <x:v>Above 100% is shortfall</x:v>
      </x:c>
      <x:c r="E26" s="54"/>
      <x:c r="F26" s="63" t="n">
        <x:f>'Storage Mass Balance'!$A$26</x:f>
        <x:v>21</x:v>
      </x:c>
      <x:c r="G26" s="92" t="n">
        <x:f>'Storage Mass Balance'!$L$26</x:f>
        <x:v>0.2876730598181955</x:v>
      </x:c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</x:row>
    <x:row r="27">
      <x:c r="A27" s="54" t="str">
        <x:v>Protected infrastructure equivalents</x:v>
      </x:c>
      <x:c r="B27" s="63" t="n">
        <x:f>'Infrastructure Protection'!$I$11</x:f>
        <x:v>17.451500000000003</x:v>
      </x:c>
      <x:c r="C27" s="54" t="str">
        <x:v>sites/day</x:v>
      </x:c>
      <x:c r="D27" s="54" t="str">
        <x:v>Throughput screen</x:v>
      </x:c>
      <x:c r="E27" s="54"/>
      <x:c r="F27" s="63" t="n">
        <x:f>'Storage Mass Balance'!$A$27</x:f>
        <x:v>22</x:v>
      </x:c>
      <x:c r="G27" s="92" t="n">
        <x:f>'Storage Mass Balance'!$L$27</x:f>
        <x:v>0.24621670403092186</x:v>
      </x:c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</x:row>
    <x:row r="28">
      <x:c r="A28" s="54" t="str">
        <x:v>Dry deployment mass</x:v>
      </x:c>
      <x:c r="B28" s="63" t="n">
        <x:f>'Deployment Manifest'!$D$20</x:f>
        <x:v>79391.28499999999</x:v>
      </x:c>
      <x:c r="C28" s="54" t="str">
        <x:v>t</x:v>
      </x:c>
      <x:c r="D28" s="54" t="str">
        <x:v>Preliminary configuration</x:v>
      </x:c>
      <x:c r="E28" s="54"/>
      <x:c r="F28" s="63" t="n">
        <x:f>'Storage Mass Balance'!$A$28</x:f>
        <x:v>23</x:v>
      </x:c>
      <x:c r="G28" s="92" t="n">
        <x:f>'Storage Mass Balance'!$L$28</x:f>
        <x:v>0.20435192034875735</x:v>
      </x:c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</x:row>
    <x:row r="29">
      <x:c r="A29" s="54" t="str">
        <x:v>External-lift mass</x:v>
      </x:c>
      <x:c r="B29" s="63" t="n">
        <x:f>'Deployment Manifest'!$F$20</x:f>
        <x:v>66844.1065</x:v>
      </x:c>
      <x:c r="C29" s="54" t="str">
        <x:v>t</x:v>
      </x:c>
      <x:c r="D29" s="54" t="str">
        <x:v>Preliminary configuration</x:v>
      </x:c>
      <x:c r="E29" s="54"/>
      <x:c r="F29" s="63" t="n">
        <x:f>'Storage Mass Balance'!$A$29</x:f>
        <x:v>24</x:v>
      </x:c>
      <x:c r="G29" s="92" t="n">
        <x:f>'Storage Mass Balance'!$L$29</x:f>
        <x:v>0.16210729872434437</x:v>
      </x:c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</x:row>
    <x:row r="30">
      <x:c r="A30" s="54" t="str">
        <x:v>Deployed establishment</x:v>
      </x:c>
      <x:c r="B30" s="63" t="n">
        <x:f>'Workforce Rotation'!$F$23</x:f>
        <x:v>7038.5</x:v>
      </x:c>
      <x:c r="C30" s="54" t="str">
        <x:v>people</x:v>
      </x:c>
      <x:c r="D30" s="54" t="str">
        <x:v>Shift-complete hypothesis</x:v>
      </x:c>
      <x:c r="E30" s="54"/>
      <x:c r="F30" s="63" t="n">
        <x:f>'Storage Mass Balance'!$A$30</x:f>
        <x:v>25</x:v>
      </x:c>
      <x:c r="G30" s="92" t="n">
        <x:f>'Storage Mass Balance'!$L$30</x:f>
        <x:v>0.11950942781364028</x:v>
      </x:c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</x:row>
    <x:row r="31">
      <x:c r="A31" s="54" t="str">
        <x:v>Service establishment</x:v>
      </x:c>
      <x:c r="B31" s="63" t="n">
        <x:f>'Workforce Rotation'!$H$23</x:f>
        <x:v>26394.375</x:v>
      </x:c>
      <x:c r="C31" s="54" t="str">
        <x:v>billets</x:v>
      </x:c>
      <x:c r="D31" s="54" t="str">
        <x:v>Institutional depth</x:v>
      </x:c>
      <x:c r="E31" s="54"/>
      <x:c r="F31" s="63" t="n">
        <x:f>'Storage Mass Balance'!$A$31</x:f>
        <x:v>26</x:v>
      </x:c>
      <x:c r="G31" s="92" t="n">
        <x:f>'Storage Mass Balance'!$L$31</x:f>
        <x:v>0.0765830350666855</x:v>
      </x:c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</x:row>
    <x:row r="32">
      <x:c r="A32" s="54" t="str">
        <x:v>Open R3 gates</x:v>
      </x:c>
      <x:c r="B32" s="63" t="n">
        <x:f>'R3 Evidence Gate'!$B$26</x:f>
        <x:v>20</x:v>
      </x:c>
      <x:c r="C32" s="54" t="str">
        <x:v>gates</x:v>
      </x:c>
      <x:c r="D32" s="54" t="str">
        <x:v>All must close</x:v>
      </x:c>
      <x:c r="E32" s="54"/>
      <x:c r="F32" s="63" t="n">
        <x:f>'Storage Mass Balance'!$A$32</x:f>
        <x:v>27</x:v>
      </x:c>
      <x:c r="G32" s="92" t="n">
        <x:f>'Storage Mass Balance'!$L$32</x:f>
        <x:v>0.03335111701201755</x:v>
      </x:c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</x:row>
    <x:row r="33">
      <x:c r="A33" s="54" t="str">
        <x:v>Maturity</x:v>
      </x:c>
      <x:c r="B33" s="63" t="str">
        <x:f>'R3 Evidence Gate'!$B$27</x:f>
        <x:v>R2+</x:v>
      </x:c>
      <x:c r="C33" s="54" t="str">
        <x:v>state</x:v>
      </x:c>
      <x:c r="D33" s="54" t="str">
        <x:v>Integrated formation only</x:v>
      </x:c>
      <x:c r="E33" s="54"/>
      <x:c r="F33" s="63" t="n">
        <x:f>'Storage Mass Balance'!$A$33</x:f>
        <x:v>28</x:v>
      </x:c>
      <x:c r="G33" s="92" t="n">
        <x:f>'Storage Mass Balance'!$L$33</x:f>
        <x:v>0</x:v>
      </x:c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</x:row>
    <x:row r="34">
      <x:c r="A34" s="54" t="str">
        <x:v>Rendering</x:v>
      </x:c>
      <x:c r="B34" s="63" t="str">
        <x:f>'R3 Evidence Gate'!$B$28</x:f>
        <x:v>Prohibited</x:v>
      </x:c>
      <x:c r="C34" s="54" t="str">
        <x:v>state</x:v>
      </x:c>
      <x:c r="D34" s="54" t="str">
        <x:v>Controlled by evidence gate</x:v>
      </x:c>
      <x:c r="E34" s="54"/>
      <x:c r="F34" s="63" t="n">
        <x:f>'Storage Mass Balance'!$A$34</x:f>
        <x:v>29</x:v>
      </x:c>
      <x:c r="G34" s="92" t="n">
        <x:f>'Storage Mass Balance'!$L$34</x:f>
        <x:v>0</x:v>
      </x:c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</x:row>
    <x:row r="35">
      <x:c r="A35" s="54"/>
      <x:c r="B35" s="54"/>
      <x:c r="C35" s="54"/>
      <x:c r="D35" s="54"/>
      <x:c r="E35" s="54"/>
      <x:c r="F35" s="63" t="n">
        <x:f>'Storage Mass Balance'!$A$35</x:f>
        <x:v>30</x:v>
      </x:c>
      <x:c r="G35" s="92" t="n">
        <x:f>'Storage Mass Balance'!$L$35</x:f>
        <x:v>0</x:v>
      </x:c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</x:row>
    <x:row r="36">
      <x:c r="A36" s="54"/>
      <x:c r="B36" s="54"/>
      <x:c r="C36" s="54"/>
      <x:c r="D36" s="54"/>
      <x:c r="E36" s="54"/>
      <x:c r="F36" s="63" t="n">
        <x:f>'Storage Mass Balance'!$A$36</x:f>
        <x:v>31</x:v>
      </x:c>
      <x:c r="G36" s="92" t="n">
        <x:f>'Storage Mass Balance'!$L$36</x:f>
        <x:v>0</x:v>
      </x:c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</x:row>
    <x:row r="37">
      <x:c r="A37" s="60" t="str">
        <x:v>Source register</x:v>
      </x:c>
      <x:c r="B37" s="61"/>
      <x:c r="C37" s="61"/>
      <x:c r="D37" s="62"/>
      <x:c r="E37" s="54"/>
      <x:c r="F37" s="63" t="n">
        <x:f>'Storage Mass Balance'!$A$37</x:f>
        <x:v>32</x:v>
      </x:c>
      <x:c r="G37" s="92" t="n">
        <x:f>'Storage Mass Balance'!$L$37</x:f>
        <x:v>0</x:v>
      </x:c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</x:row>
    <x:row r="38">
      <x:c r="A38" s="40" t="str">
        <x:v>Source</x:v>
      </x:c>
      <x:c r="B38" s="41" t="str">
        <x:v>Use</x:v>
      </x:c>
      <x:c r="C38" s="41" t="str">
        <x:v>URL</x:v>
      </x:c>
      <x:c r="D38" s="42" t="str">
        <x:v>Caution</x:v>
      </x:c>
      <x:c r="E38" s="54"/>
      <x:c r="F38" s="63" t="n">
        <x:f>'Storage Mass Balance'!$A$38</x:f>
        <x:v>33</x:v>
      </x:c>
      <x:c r="G38" s="92" t="n">
        <x:f>'Storage Mass Balance'!$L$38</x:f>
        <x:v>0</x:v>
      </x:c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</x:row>
    <x:row r="39">
      <x:c r="A39" s="54" t="str">
        <x:v>USACE Flood Response Manual</x:v>
      </x:c>
      <x:c r="B39" s="54" t="str">
        <x:v>Flood fight, inspection, barriers and pumping</x:v>
      </x:c>
      <x:c r="C39" s="54" t="str">
        <x:v>https://www.mvp.usace.army.mil/Portals/57/docs/Operations%20Center/USACE%20Flood%20Response%20Manual%202023.pdf</x:v>
      </x:c>
      <x:c r="D39" s="54" t="str">
        <x:v>Operational guidance, not future specification</x:v>
      </x:c>
      <x:c r="E39" s="54"/>
      <x:c r="F39" s="63" t="n">
        <x:f>'Storage Mass Balance'!$A$39</x:f>
        <x:v>34</x:v>
      </x:c>
      <x:c r="G39" s="92" t="n">
        <x:f>'Storage Mass Balance'!$L$39</x:f>
        <x:v>0</x:v>
      </x:c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</x:row>
    <x:row r="40">
      <x:c r="A40" s="54" t="str">
        <x:v>FEMA Swiftwater/Flood SAR Team</x:v>
      </x:c>
      <x:c r="B40" s="54" t="str">
        <x:v>Current typed rescue baseline</x:v>
      </x:c>
      <x:c r="C40" s="54" t="str">
        <x:v>https://rtlt.preptoolkit.fema.gov/Public/Resource/ViewFile/8-508-1020?q=swiftwater&amp;s=FemaId&amp;type=Pdf</x:v>
      </x:c>
      <x:c r="D40" s="54" t="str">
        <x:v>Current resource definition</x:v>
      </x:c>
      <x:c r="E40" s="54"/>
      <x:c r="F40" s="63" t="n">
        <x:f>'Storage Mass Balance'!$A$40</x:f>
        <x:v>35</x:v>
      </x:c>
      <x:c r="G40" s="92" t="n">
        <x:f>'Storage Mass Balance'!$L$40</x:f>
        <x:v>0</x:v>
      </x:c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</x:row>
    <x:row r="41">
      <x:c r="A41" s="54" t="str">
        <x:v>USACE New Orleans PCCP</x:v>
      </x:c>
      <x:c r="B41" s="54" t="str">
        <x:v>Fixed pump scale and independent power</x:v>
      </x:c>
      <x:c r="C41" s="54" t="str">
        <x:v>https://www.mvn.usace.army.mil/Missions/HSDRRS/PCCP/Orleans-Ave-PCCP/</x:v>
      </x:c>
      <x:c r="D41" s="54" t="str">
        <x:v>Fixed system, not mobile comparison</x:v>
      </x:c>
      <x:c r="E41" s="54"/>
      <x:c r="F41" s="63" t="n">
        <x:f>'Storage Mass Balance'!$A$41</x:f>
        <x:v>36</x:v>
      </x:c>
      <x:c r="G41" s="92" t="n">
        <x:f>'Storage Mass Balance'!$L$41</x:f>
        <x:v>0</x:v>
      </x:c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</x:row>
    <x:row r="42">
      <x:c r="A42" s="54" t="str">
        <x:v>USACE Pumping Stations EM</x:v>
      </x:c>
      <x:c r="B42" s="54" t="str">
        <x:v>Pump, discharge, drive, power and test chain</x:v>
      </x:c>
      <x:c r="C42" s="54" t="str">
        <x:v>https://www.publications.usace.army.mil/Portals/76/Publications/EngineerManuals/EM_1110-2-3105.pdf</x:v>
      </x:c>
      <x:c r="D42" s="54" t="str">
        <x:v>Legacy official manual; engineering baseline</x:v>
      </x:c>
      <x:c r="E42" s="54"/>
      <x:c r="F42" s="63" t="n">
        <x:f>'Storage Mass Balance'!$A$42</x:f>
        <x:v>37</x:v>
      </x:c>
      <x:c r="G42" s="92" t="n">
        <x:f>'Storage Mass Balance'!$L$42</x:f>
        <x:v>0</x:v>
      </x:c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</x:row>
    <x:row r="43">
      <x:c r="A43" s="54" t="str">
        <x:v>USACE ERDC PLUG</x:v>
      </x:c>
      <x:c r="B43" s="54" t="str">
        <x:v>Breach-arrest research precedent</x:v>
      </x:c>
      <x:c r="C43" s="54" t="str">
        <x:v>https://www.erdc.usace.army.mil/Media/Fact-Sheets/Fact-Sheet-Article-View/Article/476704/portable-lightweight-ubiquitous-gasket/</x:v>
      </x:c>
      <x:c r="D43" s="54" t="str">
        <x:v>Prototype evidence, not operational capability</x:v>
      </x:c>
      <x:c r="E43" s="54"/>
      <x:c r="F43" s="63" t="n">
        <x:f>'Storage Mass Balance'!$A$43</x:f>
        <x:v>38</x:v>
      </x:c>
      <x:c r="G43" s="92" t="n">
        <x:f>'Storage Mass Balance'!$L$43</x:f>
        <x:v>0</x:v>
      </x:c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</x:row>
    <x:row r="44">
      <x:c r="A44" s="54" t="str">
        <x:v>NOAA National Water Model</x:v>
      </x:c>
      <x:c r="B44" s="54" t="str">
        <x:v>National hydrologic guidance</x:v>
      </x:c>
      <x:c r="C44" s="54" t="str">
        <x:v>https://water.noaa.gov/about/nwm</x:v>
      </x:c>
      <x:c r="D44" s="54" t="str">
        <x:v>Model guidance requires local validation</x:v>
      </x:c>
      <x:c r="E44" s="54"/>
      <x:c r="F44" s="63" t="n">
        <x:f>'Storage Mass Balance'!$A$44</x:f>
        <x:v>39</x:v>
      </x:c>
      <x:c r="G44" s="92" t="n">
        <x:f>'Storage Mass Balance'!$L$44</x:f>
        <x:v>0</x:v>
      </x:c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</x:row>
    <x:row r="45">
      <x:c r="A45" s="54" t="str">
        <x:v>USGS Flood Inundation Mapping</x:v>
      </x:c>
      <x:c r="B45" s="54" t="str">
        <x:v>Surveyed map/gage linkage</x:v>
      </x:c>
      <x:c r="C45" s="54" t="str">
        <x:v>https://www.usgs.gov/mission-areas/water-resources/science/flood-inundation-mapping-fim-program</x:v>
      </x:c>
      <x:c r="D45" s="54" t="str">
        <x:v>Coverage is not universal</x:v>
      </x:c>
      <x:c r="E45" s="54"/>
      <x:c r="F45" s="63" t="n">
        <x:f>'Storage Mass Balance'!$A$45</x:f>
        <x:v>40</x:v>
      </x:c>
      <x:c r="G45" s="92" t="n">
        <x:f>'Storage Mass Balance'!$L$45</x:f>
        <x:v>0</x:v>
      </x:c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</x:row>
    <x:row r="46">
      <x:c r="A46" s="54" t="str">
        <x:v>NASA HydroSAR</x:v>
      </x:c>
      <x:c r="B46" s="54" t="str">
        <x:v>Cloud/night surface-water mapping</x:v>
      </x:c>
      <x:c r="C46" s="54" t="str">
        <x:v>https://disasters.nasa.gov/our-impact/story/tools-you-can-use-mapping-flood-impacts</x:v>
      </x:c>
      <x:c r="D46" s="54" t="str">
        <x:v>Revisit and latency limits</x:v>
      </x:c>
      <x:c r="E46" s="54"/>
      <x:c r="F46" s="63" t="n">
        <x:f>'Storage Mass Balance'!$A$46</x:f>
        <x:v>41</x:v>
      </x:c>
      <x:c r="G46" s="92" t="n">
        <x:f>'Storage Mass Balance'!$L$46</x:f>
        <x:v>0</x:v>
      </x:c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</x:row>
    <x:row r="47">
      <x:c r="A47" s="54" t="str">
        <x:v>USGS ARkStorm</x:v>
      </x:c>
      <x:c r="B47" s="54" t="str">
        <x:v>Megaflood design reference</x:v>
      </x:c>
      <x:c r="C47" s="54" t="str">
        <x:v>https://pubs.usgs.gov/of/2010/1312/</x:v>
      </x:c>
      <x:c r="D47" s="54" t="str">
        <x:v>Scenario, not forecast</x:v>
      </x:c>
      <x:c r="E47" s="54"/>
      <x:c r="F47" s="63" t="n">
        <x:f>'Storage Mass Balance'!$A$47</x:f>
        <x:v>42</x:v>
      </x:c>
      <x:c r="G47" s="92" t="n">
        <x:f>'Storage Mass Balance'!$L$47</x:f>
        <x:v>0</x:v>
      </x:c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</x:row>
    <x:row r="48">
      <x:c r="A48" s="54" t="str">
        <x:v>NIOSH flood worker guidance</x:v>
      </x:c>
      <x:c r="B48" s="54" t="str">
        <x:v>Drowning, debris, contamination and wet work</x:v>
      </x:c>
      <x:c r="C48" s="54" t="str">
        <x:v>https://www.cdc.gov/niosh/docs/2025-106/pdfs/2025-106.pdf</x:v>
      </x:c>
      <x:c r="D48" s="54" t="str">
        <x:v>Safety guidance</x:v>
      </x:c>
      <x:c r="E48" s="54"/>
      <x:c r="F48" s="63" t="n">
        <x:f>'Storage Mass Balance'!$A$48</x:f>
        <x:v>43</x:v>
      </x:c>
      <x:c r="G48" s="92" t="n">
        <x:f>'Storage Mass Balance'!$L$48</x:f>
        <x:v>0</x:v>
      </x:c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</x:row>
    <x:row r="49">
      <x:c r="A49" s="54" t="str">
        <x:v>UK high-volume pump</x:v>
      </x:c>
      <x:c r="B49" s="54" t="str">
        <x:v>7,000 L/min and 3 km comparator</x:v>
      </x:c>
      <x:c r="C49" s="54" t="str">
        <x:v>https://www.gov.uk/government/news/environment-agency-and-fire-service-team-up-to-tackle-emergencies</x:v>
      </x:c>
      <x:c r="D49" s="54" t="str">
        <x:v>Foreign tactical comparator</x:v>
      </x:c>
      <x:c r="E49" s="54"/>
      <x:c r="F49" s="63" t="n">
        <x:f>'Storage Mass Balance'!$A$49</x:f>
        <x:v>44</x:v>
      </x:c>
      <x:c r="G49" s="92" t="n">
        <x:f>'Storage Mass Balance'!$L$49</x:f>
        <x:v>0</x:v>
      </x:c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</x:row>
    <x:row r="50">
      <x:c r="A50" s="54" t="str">
        <x:v>UK reservoir drawdown guide</x:v>
      </x:c>
      <x:c r="B50" s="54" t="str">
        <x:v>1,000–1,650 L/s comparator</x:v>
      </x:c>
      <x:c r="C50" s="54" t="str">
        <x:v>https://assets.publishing.service.gov.uk/media/603640f7e90e0740b8c19223/Guide_to_drawdown_capacity_for_reservoir_safety_and_emergency_planning_-_volume_1.pdf</x:v>
      </x:c>
      <x:c r="D50" s="54" t="str">
        <x:v>Foreign emergency comparator</x:v>
      </x:c>
      <x:c r="E50" s="54"/>
      <x:c r="F50" s="63" t="n">
        <x:f>'Storage Mass Balance'!$A$50</x:f>
        <x:v>45</x:v>
      </x:c>
      <x:c r="G50" s="92" t="n">
        <x:f>'Storage Mass Balance'!$L$50</x:f>
        <x:v>0</x:v>
      </x:c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</x:row>
    <x:row r="51">
      <x:c r="A51" s="54" t="str">
        <x:v>EIA energy conversions</x:v>
      </x:c>
      <x:c r="B51" s="54" t="str">
        <x:v>Diesel energy and heat-rate context</x:v>
      </x:c>
      <x:c r="C51" s="54" t="str">
        <x:v>https://www.eia.gov/energyexplained/units-and-calculators/energy-conversion-calculators.php</x:v>
      </x:c>
      <x:c r="D51" s="54" t="str">
        <x:v>Conversion basis</x:v>
      </x:c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</x:row>
    <x:row r="54">
      <x:c r="A54" s="85" t="str">
        <x:v>Model boundary</x:v>
      </x:c>
      <x:c r="B54" s="85" t="str">
        <x:v>All flood cases, pump curves, route masses, barrier shares, rescue demand, productivity, staffing, readiness and cost values are explicit design-study assumptions. The workbook is not an incident forecast, construction design, navigation plan, environmental authorization, acquisition estimate or verified performance claim.</x:v>
      </x:c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</x:row>
  </x:sheetData>
  <x:mergeCells>
    <x:mergeCell ref="A1:T1"/>
    <x:mergeCell ref="A2:T2"/>
    <x:mergeCell ref="B54:T56"/>
  </x:mergeCells>
  <x:pageMargins left="0.7" right="0.7" top="0.75" bottom="0.75" header="0.3" footer="0.3"/>
  <x:drawing xmlns:r="http://schemas.openxmlformats.org/officeDocument/2006/relationships" r:id="R1740c34d1e344432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34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6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8" hidden="0" customWidth="1"/>
    <x:col min="23" max="23" width="20" hidden="0" customWidth="1"/>
  </x:cols>
  <x:sheetData>
    <x:row r="1" ht="24" customHeight="1">
      <x:c r="A1" s="52" t="str">
        <x:v>Flood-force configuration controls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</x:row>
    <x:row r="2" ht="28" customHeight="1">
      <x:c r="A2" s="38" t="str">
        <x:v>Yellow cells are editable assumptions. Baseline: Inland HCG-100 against a trapped urban basin. Values are design-study inputs, not specifications.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</x:row>
    <x:row r="4">
      <x:c r="A4" s="40" t="str">
        <x:v>Parameter</x:v>
      </x:c>
      <x:c r="B4" s="41" t="str">
        <x:v>Unit</x:v>
      </x:c>
      <x:c r="C4" s="41" t="str">
        <x:v>Value</x:v>
      </x:c>
      <x:c r="D4" s="41" t="str">
        <x:v>Basis</x:v>
      </x:c>
      <x:c r="E4" s="42" t="str">
        <x:v>Evidence class</x:v>
      </x:c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</x:row>
    <x:row r="5">
      <x:c r="A5" s="54" t="str">
        <x:v>Formation state</x:v>
      </x:c>
      <x:c r="B5" s="54" t="str">
        <x:v>case</x:v>
      </x:c>
      <x:c r="C5" s="55" t="str">
        <x:v>Inland HCG-100</x:v>
      </x:c>
      <x:c r="D5" s="54" t="str">
        <x:v>Select the force package</x:v>
      </x:c>
      <x:c r="E5" s="54" t="str">
        <x:v>Scenario control</x:v>
      </x:c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</x:row>
    <x:row r="6">
      <x:c r="A6" s="54" t="str">
        <x:v>Flood case</x:v>
      </x:c>
      <x:c r="B6" s="54" t="str">
        <x:v>case</x:v>
      </x:c>
      <x:c r="C6" s="55" t="str">
        <x:v>Trapped urban basin</x:v>
      </x:c>
      <x:c r="D6" s="54" t="str">
        <x:v>Select the hydraulic case</x:v>
      </x:c>
      <x:c r="E6" s="54" t="str">
        <x:v>Scenario control</x:v>
      </x:c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</x:row>
    <x:row r="7">
      <x:c r="A7" s="54" t="str">
        <x:v>Campaign duration</x:v>
      </x:c>
      <x:c r="B7" s="54" t="str">
        <x:v>days</x:v>
      </x:c>
      <x:c r="C7" s="55" t="n">
        <x:v>30</x:v>
      </x:c>
      <x:c r="D7" s="54" t="str">
        <x:v>Sustained operation before major relief</x:v>
      </x:c>
      <x:c r="E7" s="54" t="str">
        <x:v>Design target</x:v>
      </x:c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</x:row>
    <x:row r="8">
      <x:c r="A8" s="54" t="str">
        <x:v>Formation operating utilization</x:v>
      </x:c>
      <x:c r="B8" s="54" t="str">
        <x:v>% available</x:v>
      </x:c>
      <x:c r="C8" s="56" t="n">
        <x:v>0.75</x:v>
      </x:c>
      <x:c r="D8" s="54" t="str">
        <x:v>Formation-level duty after unit availability, head and intake/debris derating</x:v>
      </x:c>
      <x:c r="E8" s="54" t="str">
        <x:v>Design assumption</x:v>
      </x:c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</x:row>
    <x:row r="9">
      <x:c r="A9" s="54" t="str">
        <x:v>Pump and drive efficiency</x:v>
      </x:c>
      <x:c r="B9" s="54" t="str">
        <x:v>% input</x:v>
      </x:c>
      <x:c r="C9" s="56" t="n">
        <x:v>0.82</x:v>
      </x:c>
      <x:c r="D9" s="54" t="str">
        <x:v>Screening efficiency</x:v>
      </x:c>
      <x:c r="E9" s="54" t="str">
        <x:v>Engineering assumption</x:v>
      </x:c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</x:row>
    <x:row r="10">
      <x:c r="A10" s="54" t="str">
        <x:v>Power reserve</x:v>
      </x:c>
      <x:c r="B10" s="54" t="str">
        <x:v>% required</x:v>
      </x:c>
      <x:c r="C10" s="56" t="n">
        <x:v>0.25</x:v>
      </x:c>
      <x:c r="D10" s="54" t="str">
        <x:v>Source and distribution reserve</x:v>
      </x:c>
      <x:c r="E10" s="54" t="str">
        <x:v>Engineering assumption</x:v>
      </x:c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</x:row>
    <x:row r="11">
      <x:c r="A11" s="54" t="str">
        <x:v>Manifest contingency</x:v>
      </x:c>
      <x:c r="B11" s="54" t="str">
        <x:v>% subtotal</x:v>
      </x:c>
      <x:c r="C11" s="57" t="n">
        <x:v>0.15</x:v>
      </x:c>
      <x:c r="D11" s="54" t="str">
        <x:v>Configuration incompleteness</x:v>
      </x:c>
      <x:c r="E11" s="54" t="str">
        <x:v>Design assumption</x:v>
      </x:c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</x:row>
    <x:row r="12">
      <x:c r="A12" s="54" t="str">
        <x:v>Institutional rotation multiplier</x:v>
      </x:c>
      <x:c r="B12" s="54" t="str">
        <x:v>billets/deployed</x:v>
      </x:c>
      <x:c r="C12" s="58" t="n">
        <x:v>3.75</x:v>
      </x:c>
      <x:c r="D12" s="54" t="str">
        <x:v>Operational depth plus school and depot overhead</x:v>
      </x:c>
      <x:c r="E12" s="54" t="str">
        <x:v>Force assumption</x:v>
      </x:c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</x:row>
    <x:row r="13">
      <x:c r="A13" s="54" t="str">
        <x:v>Procurement reserve</x:v>
      </x:c>
      <x:c r="B13" s="54" t="str">
        <x:v>% baseline</x:v>
      </x:c>
      <x:c r="C13" s="58" t="n">
        <x:v>0.25</x:v>
      </x:c>
      <x:c r="D13" s="54" t="str">
        <x:v>Training, attrition and depot reserve</x:v>
      </x:c>
      <x:c r="E13" s="54" t="str">
        <x:v>Force assumption</x:v>
      </x:c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</x:row>
    <x:row r="14">
      <x:c r="A14" s="54" t="str">
        <x:v>Program horizon</x:v>
      </x:c>
      <x:c r="B14" s="54" t="str">
        <x:v>years</x:v>
      </x:c>
      <x:c r="C14" s="58" t="n">
        <x:v>25</x:v>
      </x:c>
      <x:c r="D14" s="54" t="str">
        <x:v>Capital and RDT&amp;E thought experiment</x:v>
      </x:c>
      <x:c r="E14" s="54" t="str">
        <x:v>Design target</x:v>
      </x:c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</x:row>
    <x:row r="15">
      <x:c r="A15" s="54" t="str">
        <x:v>Capital portfolio</x:v>
      </x:c>
      <x:c r="B15" s="54" t="str">
        <x:v>$B real 2026</x:v>
      </x:c>
      <x:c r="C15" s="59" t="n">
        <x:v>1000</x:v>
      </x:c>
      <x:c r="D15" s="54" t="str">
        <x:v>Flood enterprise capital and RDT&amp;E only</x:v>
      </x:c>
      <x:c r="E15" s="54" t="str">
        <x:v>Thought experiment</x:v>
      </x:c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</x:row>
    <x:row r="16">
      <x:c r="A16" s="54" t="str">
        <x:v>Liquid-electric generation share</x:v>
      </x:c>
      <x:c r="B16" s="54" t="str">
        <x:v>% pump energy</x:v>
      </x:c>
      <x:c r="C16" s="56" t="n">
        <x:v>0.6</x:v>
      </x:c>
      <x:c r="D16" s="54" t="str">
        <x:v>Remaining energy from safe grid and other sources</x:v>
      </x:c>
      <x:c r="E16" s="54" t="str">
        <x:v>Energy assumption</x:v>
      </x:c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</x:row>
    <x:row r="17">
      <x:c r="A17" s="54" t="str">
        <x:v>Common support share</x:v>
      </x:c>
      <x:c r="B17" s="54" t="str">
        <x:v>% direct workforce</x:v>
      </x:c>
      <x:c r="C17" s="56" t="n">
        <x:v>0.25</x:v>
      </x:c>
      <x:c r="D17" s="54" t="str">
        <x:v>Command, health, logistics and repair</x:v>
      </x:c>
      <x:c r="E17" s="54" t="str">
        <x:v>Force assumption</x:v>
      </x:c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</x:row>
    <x:row r="18">
      <x:c r="A18" s="54" t="str">
        <x:v>FIN readiness</x:v>
      </x:c>
      <x:c r="B18" s="54" t="str">
        <x:v>% planned</x:v>
      </x:c>
      <x:c r="C18" s="56" t="n">
        <x:v>0.8</x:v>
      </x:c>
      <x:c r="D18" s="54" t="str">
        <x:v>Ready-now share</x:v>
      </x:c>
      <x:c r="E18" s="54" t="str">
        <x:v>Readiness assumption</x:v>
      </x:c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</x:row>
    <x:row r="19">
      <x:c r="A19" s="54" t="str">
        <x:v>HCG readiness</x:v>
      </x:c>
      <x:c r="B19" s="54" t="str">
        <x:v>% planned</x:v>
      </x:c>
      <x:c r="C19" s="56" t="n">
        <x:v>0.75</x:v>
      </x:c>
      <x:c r="D19" s="54" t="str">
        <x:v>Ready-now share</x:v>
      </x:c>
      <x:c r="E19" s="54" t="str">
        <x:v>Readiness assumption</x:v>
      </x:c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</x:row>
    <x:row r="20">
      <x:c r="A20" s="54" t="str">
        <x:v>Environmental discharge factor</x:v>
      </x:c>
      <x:c r="B20" s="54" t="str">
        <x:v>% hydraulic cap</x:v>
      </x:c>
      <x:c r="C20" s="56" t="n">
        <x:v>0.95</x:v>
      </x:c>
      <x:c r="D20" s="54" t="str">
        <x:v>Monitoring, routing and control allowance</x:v>
      </x:c>
      <x:c r="E20" s="54" t="str">
        <x:v>Design assumption</x:v>
      </x:c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</x:row>
    <x:row r="21">
      <x:c r="A21" s="54" t="str">
        <x:v>High-hazard share of contaminated flow</x:v>
      </x:c>
      <x:c r="B21" s="54" t="str">
        <x:v>% contaminated</x:v>
      </x:c>
      <x:c r="C21" s="56" t="n">
        <x:v>0.02</x:v>
      </x:c>
      <x:c r="D21" s="54" t="str">
        <x:v>Share requiring treatment or containment</x:v>
      </x:c>
      <x:c r="E21" s="54" t="str">
        <x:v>Design assumption</x:v>
      </x:c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</x:row>
    <x:row r="24">
      <x:c r="A24" s="60" t="str">
        <x:v>Reference formation packages</x:v>
      </x:c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2"/>
    </x:row>
    <x:row r="25">
      <x:c r="A25" s="40" t="str">
        <x:v>Formation</x:v>
      </x:c>
      <x:c r="B25" s="41" t="str">
        <x:v>Action P50 (h)</x:v>
      </x:c>
      <x:c r="C25" s="41" t="str">
        <x:v>Action P90 (h)</x:v>
      </x:c>
      <x:c r="D25" s="41" t="str">
        <x:v>Nominal pump (m³/s)</x:v>
      </x:c>
      <x:c r="E25" s="41" t="str">
        <x:v>Tactical pumps</x:v>
      </x:c>
      <x:c r="F25" s="41" t="str">
        <x:v>Regional pumps</x:v>
      </x:c>
      <x:c r="G25" s="41" t="str">
        <x:v>Axial pumps</x:v>
      </x:c>
      <x:c r="H25" s="41" t="str">
        <x:v>Barge pumps</x:v>
      </x:c>
      <x:c r="I25" s="41" t="str">
        <x:v>0.61 m lines</x:v>
      </x:c>
      <x:c r="J25" s="41" t="str">
        <x:v>1 m lines</x:v>
      </x:c>
      <x:c r="K25" s="41" t="str">
        <x:v>2 m lines</x:v>
      </x:c>
      <x:c r="L25" s="41" t="str">
        <x:v>Open-channel cap (m³/s)</x:v>
      </x:c>
      <x:c r="M25" s="41" t="str">
        <x:v>Barrier capacity (km)</x:v>
      </x:c>
      <x:c r="N25" s="41" t="str">
        <x:v>Urban craft</x:v>
      </x:c>
      <x:c r="O25" s="41" t="str">
        <x:v>Swiftwater craft</x:v>
      </x:c>
      <x:c r="P25" s="41" t="str">
        <x:v>High-water carriers</x:v>
      </x:c>
      <x:c r="Q25" s="41" t="str">
        <x:v>Heavy amphibious</x:v>
      </x:c>
      <x:c r="R25" s="41" t="str">
        <x:v>Coastal craft</x:v>
      </x:c>
      <x:c r="S25" s="41" t="str">
        <x:v>Crewed machines</x:v>
      </x:c>
      <x:c r="T25" s="41" t="str">
        <x:v>Robotic machines</x:v>
      </x:c>
      <x:c r="U25" s="41" t="str">
        <x:v>Survey teams</x:v>
      </x:c>
      <x:c r="V25" s="41" t="str">
        <x:v>Available pump power (MW)</x:v>
      </x:c>
      <x:c r="W25" s="42" t="str">
        <x:v>Command/support mass (t)</x:v>
      </x:c>
    </x:row>
    <x:row r="26">
      <x:c r="A26" s="54" t="str">
        <x:v>FIN Regional Cell</x:v>
      </x:c>
      <x:c r="B26" s="59" t="n">
        <x:v>4</x:v>
      </x:c>
      <x:c r="C26" s="59" t="n">
        <x:v>10</x:v>
      </x:c>
      <x:c r="D26" s="59" t="n">
        <x:v>7</x:v>
      </x:c>
      <x:c r="E26" s="59" t="n">
        <x:v>8</x:v>
      </x:c>
      <x:c r="F26" s="59" t="n">
        <x:v>2</x:v>
      </x:c>
      <x:c r="G26" s="59" t="n">
        <x:v>0</x:v>
      </x:c>
      <x:c r="H26" s="59" t="n">
        <x:v>0</x:v>
      </x:c>
      <x:c r="I26" s="59" t="n">
        <x:v>4</x:v>
      </x:c>
      <x:c r="J26" s="59" t="n">
        <x:v>2</x:v>
      </x:c>
      <x:c r="K26" s="59" t="n">
        <x:v>0</x:v>
      </x:c>
      <x:c r="L26" s="59" t="n">
        <x:v>0</x:v>
      </x:c>
      <x:c r="M26" s="59" t="n">
        <x:v>5</x:v>
      </x:c>
      <x:c r="N26" s="59" t="n">
        <x:v>12</x:v>
      </x:c>
      <x:c r="O26" s="59" t="n">
        <x:v>8</x:v>
      </x:c>
      <x:c r="P26" s="59" t="n">
        <x:v>20</x:v>
      </x:c>
      <x:c r="Q26" s="59" t="n">
        <x:v>2</x:v>
      </x:c>
      <x:c r="R26" s="59" t="n">
        <x:v>0</x:v>
      </x:c>
      <x:c r="S26" s="59" t="n">
        <x:v>8</x:v>
      </x:c>
      <x:c r="T26" s="59" t="n">
        <x:v>8</x:v>
      </x:c>
      <x:c r="U26" s="59" t="n">
        <x:v>4</x:v>
      </x:c>
      <x:c r="V26" s="59" t="n">
        <x:v>5</x:v>
      </x:c>
      <x:c r="W26" s="59" t="n">
        <x:v>300</x:v>
      </x:c>
    </x:row>
    <x:row r="27">
      <x:c r="A27" s="54" t="str">
        <x:v>Inland HCG-100</x:v>
      </x:c>
      <x:c r="B27" s="59" t="n">
        <x:v>24</x:v>
      </x:c>
      <x:c r="C27" s="59" t="n">
        <x:v>48</x:v>
      </x:c>
      <x:c r="D27" s="59" t="n">
        <x:v>100</x:v>
      </x:c>
      <x:c r="E27" s="59" t="n">
        <x:v>20</x:v>
      </x:c>
      <x:c r="F27" s="59" t="n">
        <x:v>10</x:v>
      </x:c>
      <x:c r="G27" s="59" t="n">
        <x:v>5</x:v>
      </x:c>
      <x:c r="H27" s="59" t="n">
        <x:v>1</x:v>
      </x:c>
      <x:c r="I27" s="59" t="n">
        <x:v>8</x:v>
      </x:c>
      <x:c r="J27" s="59" t="n">
        <x:v>16</x:v>
      </x:c>
      <x:c r="K27" s="59" t="n">
        <x:v>8</x:v>
      </x:c>
      <x:c r="L27" s="59" t="n">
        <x:v>30</x:v>
      </x:c>
      <x:c r="M27" s="59" t="n">
        <x:v>40</x:v>
      </x:c>
      <x:c r="N27" s="59" t="n">
        <x:v>24</x:v>
      </x:c>
      <x:c r="O27" s="59" t="n">
        <x:v>20</x:v>
      </x:c>
      <x:c r="P27" s="59" t="n">
        <x:v>40</x:v>
      </x:c>
      <x:c r="Q27" s="59" t="n">
        <x:v>12</x:v>
      </x:c>
      <x:c r="R27" s="59" t="n">
        <x:v>4</x:v>
      </x:c>
      <x:c r="S27" s="59" t="n">
        <x:v>80</x:v>
      </x:c>
      <x:c r="T27" s="59" t="n">
        <x:v>60</x:v>
      </x:c>
      <x:c r="U27" s="59" t="n">
        <x:v>16</x:v>
      </x:c>
      <x:c r="V27" s="59" t="n">
        <x:v>30</x:v>
      </x:c>
      <x:c r="W27" s="59" t="n">
        <x:v>5000</x:v>
      </x:c>
    </x:row>
    <x:row r="28">
      <x:c r="A28" s="54" t="str">
        <x:v>Coastal HCG-100</x:v>
      </x:c>
      <x:c r="B28" s="59" t="n">
        <x:v>36</x:v>
      </x:c>
      <x:c r="C28" s="59" t="n">
        <x:v>72</x:v>
      </x:c>
      <x:c r="D28" s="59" t="n">
        <x:v>104</x:v>
      </x:c>
      <x:c r="E28" s="59" t="n">
        <x:v>16</x:v>
      </x:c>
      <x:c r="F28" s="59" t="n">
        <x:v>8</x:v>
      </x:c>
      <x:c r="G28" s="59" t="n">
        <x:v>4</x:v>
      </x:c>
      <x:c r="H28" s="59" t="n">
        <x:v>2</x:v>
      </x:c>
      <x:c r="I28" s="59" t="n">
        <x:v>8</x:v>
      </x:c>
      <x:c r="J28" s="59" t="n">
        <x:v>8</x:v>
      </x:c>
      <x:c r="K28" s="59" t="n">
        <x:v>8</x:v>
      </x:c>
      <x:c r="L28" s="59" t="n">
        <x:v>60</x:v>
      </x:c>
      <x:c r="M28" s="59" t="n">
        <x:v>30</x:v>
      </x:c>
      <x:c r="N28" s="59" t="n">
        <x:v>20</x:v>
      </x:c>
      <x:c r="O28" s="59" t="n">
        <x:v>16</x:v>
      </x:c>
      <x:c r="P28" s="59" t="n">
        <x:v>30</x:v>
      </x:c>
      <x:c r="Q28" s="59" t="n">
        <x:v>16</x:v>
      </x:c>
      <x:c r="R28" s="59" t="n">
        <x:v>12</x:v>
      </x:c>
      <x:c r="S28" s="59" t="n">
        <x:v>60</x:v>
      </x:c>
      <x:c r="T28" s="59" t="n">
        <x:v>48</x:v>
      </x:c>
      <x:c r="U28" s="59" t="n">
        <x:v>20</x:v>
      </x:c>
      <x:c r="V28" s="59" t="n">
        <x:v>40</x:v>
      </x:c>
      <x:c r="W28" s="59" t="n">
        <x:v>6500</x:v>
      </x:c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</x:row>
    <x:row r="31">
      <x:c r="A31" s="60" t="str">
        <x:v>Selected package outputs</x:v>
      </x:c>
      <x:c r="B31" s="61"/>
      <x:c r="C31" s="61"/>
      <x:c r="D31" s="61"/>
      <x:c r="E31" s="62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</x:row>
    <x:row r="32">
      <x:c r="A32" s="40" t="str">
        <x:v>Parameter</x:v>
      </x:c>
      <x:c r="B32" s="41" t="str">
        <x:v>Unit</x:v>
      </x:c>
      <x:c r="C32" s="41" t="str">
        <x:v>Value</x:v>
      </x:c>
      <x:c r="D32" s="41" t="str">
        <x:v>Used by</x:v>
      </x:c>
      <x:c r="E32" s="42" t="str">
        <x:v>Limit</x:v>
      </x:c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</x:row>
    <x:row r="33">
      <x:c r="A33" s="54" t="str">
        <x:v>Action P50</x:v>
      </x:c>
      <x:c r="B33" s="54" t="str">
        <x:v>hours</x:v>
      </x:c>
      <x:c r="C33" s="63" t="n">
        <x:f>INDEX($B$26:$W$28,MATCH($C$5,$A$26:$A$28,0),1)</x:f>
        <x:v>24</x:v>
      </x:c>
      <x:c r="D33" s="54" t="str">
        <x:v>Action clock</x:v>
      </x:c>
      <x:c r="E33" s="54" t="str">
        <x:v>Posture assumption</x:v>
      </x:c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</x:row>
    <x:row r="34">
      <x:c r="A34" s="54" t="str">
        <x:v>Action P90</x:v>
      </x:c>
      <x:c r="B34" s="54" t="str">
        <x:v>hours</x:v>
      </x:c>
      <x:c r="C34" s="63" t="n">
        <x:f>INDEX($B$26:$W$28,MATCH($C$5,$A$26:$A$28,0),2)</x:f>
        <x:v>48</x:v>
      </x:c>
      <x:c r="D34" s="54" t="str">
        <x:v>Action clock</x:v>
      </x:c>
      <x:c r="E34" s="54" t="str">
        <x:v>Posture assumption</x:v>
      </x:c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</x:row>
    <x:row r="35">
      <x:c r="A35" s="54" t="str">
        <x:v>Nominal pump</x:v>
      </x:c>
      <x:c r="B35" s="54" t="str">
        <x:v>m³/s</x:v>
      </x:c>
      <x:c r="C35" s="63" t="n">
        <x:f>INDEX($B$26:$W$28,MATCH($C$5,$A$26:$A$28,0),3)</x:f>
        <x:v>100</x:v>
      </x:c>
      <x:c r="D35" s="54" t="str">
        <x:v>Hydraulic system</x:v>
      </x:c>
      <x:c r="E35" s="54" t="str">
        <x:v>Configuration hypothesis</x:v>
      </x:c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</x:row>
    <x:row r="36">
      <x:c r="A36" s="54" t="str">
        <x:v>Tactical pumps</x:v>
      </x:c>
      <x:c r="B36" s="54" t="str">
        <x:v>units</x:v>
      </x:c>
      <x:c r="C36" s="63" t="n">
        <x:f>INDEX($B$26:$W$28,MATCH($C$5,$A$26:$A$28,0),4)</x:f>
        <x:v>20</x:v>
      </x:c>
      <x:c r="D36" s="54" t="str">
        <x:v>Hydraulic system</x:v>
      </x:c>
      <x:c r="E36" s="54" t="str">
        <x:v>Configuration hypothesis</x:v>
      </x:c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</x:row>
    <x:row r="37">
      <x:c r="A37" s="54" t="str">
        <x:v>Regional pumps</x:v>
      </x:c>
      <x:c r="B37" s="54" t="str">
        <x:v>units</x:v>
      </x:c>
      <x:c r="C37" s="63" t="n">
        <x:f>INDEX($B$26:$W$28,MATCH($C$5,$A$26:$A$28,0),5)</x:f>
        <x:v>10</x:v>
      </x:c>
      <x:c r="D37" s="54" t="str">
        <x:v>Hydraulic system</x:v>
      </x:c>
      <x:c r="E37" s="54" t="str">
        <x:v>Configuration hypothesis</x:v>
      </x:c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</x:row>
    <x:row r="38">
      <x:c r="A38" s="54" t="str">
        <x:v>Axial pumps</x:v>
      </x:c>
      <x:c r="B38" s="54" t="str">
        <x:v>units</x:v>
      </x:c>
      <x:c r="C38" s="63" t="n">
        <x:f>INDEX($B$26:$W$28,MATCH($C$5,$A$26:$A$28,0),6)</x:f>
        <x:v>5</x:v>
      </x:c>
      <x:c r="D38" s="54" t="str">
        <x:v>Hydraulic system</x:v>
      </x:c>
      <x:c r="E38" s="54" t="str">
        <x:v>Configuration hypothesis</x:v>
      </x:c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</x:row>
    <x:row r="39">
      <x:c r="A39" s="54" t="str">
        <x:v>Barge pumps</x:v>
      </x:c>
      <x:c r="B39" s="54" t="str">
        <x:v>units</x:v>
      </x:c>
      <x:c r="C39" s="63" t="n">
        <x:f>INDEX($B$26:$W$28,MATCH($C$5,$A$26:$A$28,0),7)</x:f>
        <x:v>1</x:v>
      </x:c>
      <x:c r="D39" s="54" t="str">
        <x:v>Hydraulic system</x:v>
      </x:c>
      <x:c r="E39" s="54" t="str">
        <x:v>Configuration hypothesis</x:v>
      </x:c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</x:row>
    <x:row r="40">
      <x:c r="A40" s="54" t="str">
        <x:v>0.61 m lines</x:v>
      </x:c>
      <x:c r="B40" s="54" t="str">
        <x:v>lines</x:v>
      </x:c>
      <x:c r="C40" s="63" t="n">
        <x:f>INDEX($B$26:$W$28,MATCH($C$5,$A$26:$A$28,0),8)</x:f>
        <x:v>8</x:v>
      </x:c>
      <x:c r="D40" s="54" t="str">
        <x:v>Hydraulic system</x:v>
      </x:c>
      <x:c r="E40" s="54" t="str">
        <x:v>Configuration hypothesis</x:v>
      </x:c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</x:row>
    <x:row r="41">
      <x:c r="A41" s="54" t="str">
        <x:v>1 m lines</x:v>
      </x:c>
      <x:c r="B41" s="54" t="str">
        <x:v>lines</x:v>
      </x:c>
      <x:c r="C41" s="63" t="n">
        <x:f>INDEX($B$26:$W$28,MATCH($C$5,$A$26:$A$28,0),9)</x:f>
        <x:v>16</x:v>
      </x:c>
      <x:c r="D41" s="54" t="str">
        <x:v>Hydraulic system</x:v>
      </x:c>
      <x:c r="E41" s="54" t="str">
        <x:v>Configuration hypothesis</x:v>
      </x:c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</x:row>
    <x:row r="42">
      <x:c r="A42" s="54" t="str">
        <x:v>2 m lines</x:v>
      </x:c>
      <x:c r="B42" s="54" t="str">
        <x:v>lines</x:v>
      </x:c>
      <x:c r="C42" s="63" t="n">
        <x:f>INDEX($B$26:$W$28,MATCH($C$5,$A$26:$A$28,0),10)</x:f>
        <x:v>8</x:v>
      </x:c>
      <x:c r="D42" s="54" t="str">
        <x:v>Hydraulic system</x:v>
      </x:c>
      <x:c r="E42" s="54" t="str">
        <x:v>Configuration hypothesis</x:v>
      </x:c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</x:row>
    <x:row r="43">
      <x:c r="A43" s="54" t="str">
        <x:v>Open-channel capacity</x:v>
      </x:c>
      <x:c r="B43" s="54" t="str">
        <x:v>m³/s</x:v>
      </x:c>
      <x:c r="C43" s="63" t="n">
        <x:f>INDEX($B$26:$W$28,MATCH($C$5,$A$26:$A$28,0),11)</x:f>
        <x:v>30</x:v>
      </x:c>
      <x:c r="D43" s="54" t="str">
        <x:v>Hydraulic system</x:v>
      </x:c>
      <x:c r="E43" s="54" t="str">
        <x:v>Configuration hypothesis</x:v>
      </x:c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</x:row>
    <x:row r="44">
      <x:c r="A44" s="54" t="str">
        <x:v>Barrier capacity</x:v>
      </x:c>
      <x:c r="B44" s="54" t="str">
        <x:v>km</x:v>
      </x:c>
      <x:c r="C44" s="63" t="n">
        <x:f>INDEX($B$26:$W$28,MATCH($C$5,$A$26:$A$28,0),12)</x:f>
        <x:v>40</x:v>
      </x:c>
      <x:c r="D44" s="54" t="str">
        <x:v>Hydraulic system</x:v>
      </x:c>
      <x:c r="E44" s="54" t="str">
        <x:v>Configuration hypothesis</x:v>
      </x:c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</x:row>
    <x:row r="45">
      <x:c r="A45" s="54" t="str">
        <x:v>Urban craft</x:v>
      </x:c>
      <x:c r="B45" s="54" t="str">
        <x:v>craft</x:v>
      </x:c>
      <x:c r="C45" s="63" t="n">
        <x:f>INDEX($B$26:$W$28,MATCH($C$5,$A$26:$A$28,0),13)</x:f>
        <x:v>24</x:v>
      </x:c>
      <x:c r="D45" s="54" t="str">
        <x:v>Access and earthworks</x:v>
      </x:c>
      <x:c r="E45" s="54" t="str">
        <x:v>Configuration hypothesis</x:v>
      </x:c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</x:row>
    <x:row r="46">
      <x:c r="A46" s="54" t="str">
        <x:v>Swiftwater craft</x:v>
      </x:c>
      <x:c r="B46" s="54" t="str">
        <x:v>craft</x:v>
      </x:c>
      <x:c r="C46" s="63" t="n">
        <x:f>INDEX($B$26:$W$28,MATCH($C$5,$A$26:$A$28,0),14)</x:f>
        <x:v>20</x:v>
      </x:c>
      <x:c r="D46" s="54" t="str">
        <x:v>Access and earthworks</x:v>
      </x:c>
      <x:c r="E46" s="54" t="str">
        <x:v>Configuration hypothesis</x:v>
      </x:c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</x:row>
    <x:row r="47">
      <x:c r="A47" s="54" t="str">
        <x:v>High-water carriers</x:v>
      </x:c>
      <x:c r="B47" s="54" t="str">
        <x:v>vehicles</x:v>
      </x:c>
      <x:c r="C47" s="63" t="n">
        <x:f>INDEX($B$26:$W$28,MATCH($C$5,$A$26:$A$28,0),15)</x:f>
        <x:v>40</x:v>
      </x:c>
      <x:c r="D47" s="54" t="str">
        <x:v>Access and earthworks</x:v>
      </x:c>
      <x:c r="E47" s="54" t="str">
        <x:v>Configuration hypothesis</x:v>
      </x:c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</x:row>
    <x:row r="48">
      <x:c r="A48" s="54" t="str">
        <x:v>Heavy amphibious</x:v>
      </x:c>
      <x:c r="B48" s="54" t="str">
        <x:v>vehicles</x:v>
      </x:c>
      <x:c r="C48" s="63" t="n">
        <x:f>INDEX($B$26:$W$28,MATCH($C$5,$A$26:$A$28,0),16)</x:f>
        <x:v>12</x:v>
      </x:c>
      <x:c r="D48" s="54" t="str">
        <x:v>Access and earthworks</x:v>
      </x:c>
      <x:c r="E48" s="54" t="str">
        <x:v>Configuration hypothesis</x:v>
      </x:c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</x:row>
    <x:row r="49">
      <x:c r="A49" s="54" t="str">
        <x:v>Coastal craft</x:v>
      </x:c>
      <x:c r="B49" s="54" t="str">
        <x:v>craft</x:v>
      </x:c>
      <x:c r="C49" s="63" t="n">
        <x:f>INDEX($B$26:$W$28,MATCH($C$5,$A$26:$A$28,0),17)</x:f>
        <x:v>4</x:v>
      </x:c>
      <x:c r="D49" s="54" t="str">
        <x:v>Access and earthworks</x:v>
      </x:c>
      <x:c r="E49" s="54" t="str">
        <x:v>Configuration hypothesis</x:v>
      </x:c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</x:row>
    <x:row r="50">
      <x:c r="A50" s="54" t="str">
        <x:v>Crewed machines</x:v>
      </x:c>
      <x:c r="B50" s="54" t="str">
        <x:v>machines</x:v>
      </x:c>
      <x:c r="C50" s="63" t="n">
        <x:f>INDEX($B$26:$W$28,MATCH($C$5,$A$26:$A$28,0),18)</x:f>
        <x:v>80</x:v>
      </x:c>
      <x:c r="D50" s="54" t="str">
        <x:v>Access and earthworks</x:v>
      </x:c>
      <x:c r="E50" s="54" t="str">
        <x:v>Configuration hypothesis</x:v>
      </x:c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</x:row>
    <x:row r="51">
      <x:c r="A51" s="54" t="str">
        <x:v>Robotic machines</x:v>
      </x:c>
      <x:c r="B51" s="54" t="str">
        <x:v>machines</x:v>
      </x:c>
      <x:c r="C51" s="63" t="n">
        <x:f>INDEX($B$26:$W$28,MATCH($C$5,$A$26:$A$28,0),19)</x:f>
        <x:v>60</x:v>
      </x:c>
      <x:c r="D51" s="54" t="str">
        <x:v>Access and earthworks</x:v>
      </x:c>
      <x:c r="E51" s="54" t="str">
        <x:v>Configuration hypothesis</x:v>
      </x:c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</x:row>
    <x:row r="52">
      <x:c r="A52" s="54" t="str">
        <x:v>Survey teams</x:v>
      </x:c>
      <x:c r="B52" s="54" t="str">
        <x:v>teams</x:v>
      </x:c>
      <x:c r="C52" s="63" t="n">
        <x:f>INDEX($B$26:$W$28,MATCH($C$5,$A$26:$A$28,0),20)</x:f>
        <x:v>16</x:v>
      </x:c>
      <x:c r="D52" s="54" t="str">
        <x:v>Formation support</x:v>
      </x:c>
      <x:c r="E52" s="54" t="str">
        <x:v>Configuration hypothesis</x:v>
      </x:c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</x:row>
    <x:row r="53">
      <x:c r="A53" s="54" t="str">
        <x:v>Available pump power</x:v>
      </x:c>
      <x:c r="B53" s="54" t="str">
        <x:v>MW</x:v>
      </x:c>
      <x:c r="C53" s="63" t="n">
        <x:f>INDEX($B$26:$W$28,MATCH($C$5,$A$26:$A$28,0),21)</x:f>
        <x:v>30</x:v>
      </x:c>
      <x:c r="D53" s="54" t="str">
        <x:v>Formation support</x:v>
      </x:c>
      <x:c r="E53" s="54" t="str">
        <x:v>Configuration hypothesis</x:v>
      </x:c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</x:row>
    <x:row r="54">
      <x:c r="A54" s="54" t="str">
        <x:v>Command/support mass</x:v>
      </x:c>
      <x:c r="B54" s="54" t="str">
        <x:v>t</x:v>
      </x:c>
      <x:c r="C54" s="63" t="n">
        <x:f>INDEX($B$26:$W$28,MATCH($C$5,$A$26:$A$28,0),22)</x:f>
        <x:v>5000</x:v>
      </x:c>
      <x:c r="D54" s="54" t="str">
        <x:v>Formation support</x:v>
      </x:c>
      <x:c r="E54" s="54" t="str">
        <x:v>Configuration hypothesis</x:v>
      </x:c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</x:row>
  </x:sheetData>
  <x:mergeCells>
    <x:mergeCell ref="A1:W1"/>
    <x:mergeCell ref="A2:W2"/>
  </x:mergeCells>
  <x:dataValidations count="2">
    <x:dataValidation type="list" sqref="C5">
      <x:formula1>"FIN Regional Cell,Inland HCG-100,Coastal HCG-100"</x:formula1>
    </x:dataValidation>
    <x:dataValidation type="list" sqref="C6">
      <x:formula1>"Trapped urban basin,Forecast river rise,Flash pluvial,Coastal compound,Levee breach"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12" hidden="0" customWidth="1"/>
    <x:col min="20" max="20" width="17" hidden="0" customWidth="1"/>
    <x:col min="21" max="21" width="15" hidden="0" customWidth="1"/>
    <x:col min="22" max="22" width="15" hidden="0" customWidth="1"/>
    <x:col min="23" max="23" width="17" hidden="0" customWidth="1"/>
    <x:col min="24" max="24" width="15" hidden="0" customWidth="1"/>
    <x:col min="25" max="25" width="17" hidden="0" customWidth="1"/>
    <x:col min="26" max="26" width="18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7" hidden="0" customWidth="1"/>
  </x:cols>
  <x:sheetData>
    <x:row r="1" ht="24" customHeight="1">
      <x:c r="A1" s="52" t="str">
        <x:v>Flood planning cases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</x:row>
    <x:row r="2" ht="28" customHeight="1">
      <x:c r="A2" s="38" t="str">
        <x:v>Five transparent cases drive the workbook. They are stress cases and editable assumptions, not calibrated forecasts.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</x:row>
    <x:row r="4">
      <x:c r="A4" s="40" t="str">
        <x:v>Case</x:v>
      </x:c>
      <x:c r="B4" s="41" t="str">
        <x:v>Action threshold (h)</x:v>
      </x:c>
      <x:c r="C4" s="41" t="str">
        <x:v>Area (km²)</x:v>
      </x:c>
      <x:c r="D4" s="41" t="str">
        <x:v>Initial depth (m)</x:v>
      </x:c>
      <x:c r="E4" s="41" t="str">
        <x:v>Initial storage (m³)</x:v>
      </x:c>
      <x:c r="F4" s="41" t="str">
        <x:v>Base inflow (m³/s)</x:v>
      </x:c>
      <x:c r="G4" s="41" t="str">
        <x:v>Daily inflow retention</x:v>
      </x:c>
      <x:c r="H4" s="41" t="str">
        <x:v>Rain inflow (m³/s)</x:v>
      </x:c>
      <x:c r="I4" s="41" t="str">
        <x:v>Gravity cap (m³/s)</x:v>
      </x:c>
      <x:c r="J4" s="41" t="str">
        <x:v>Receiving cap (m³/s)</x:v>
      </x:c>
      <x:c r="K4" s="41" t="str">
        <x:v>Receiving availability</x:v>
      </x:c>
      <x:c r="L4" s="41" t="str">
        <x:v>Total head (m)</x:v>
      </x:c>
      <x:c r="M4" s="41" t="str">
        <x:v>Intake factor</x:v>
      </x:c>
      <x:c r="N4" s="41" t="str">
        <x:v>Debris factor</x:v>
      </x:c>
      <x:c r="O4" s="41" t="str">
        <x:v>Contaminated share</x:v>
      </x:c>
      <x:c r="P4" s="41" t="str">
        <x:v>Barrier depth (m)</x:v>
      </x:c>
      <x:c r="Q4" s="41" t="str">
        <x:v>Breach width (m)</x:v>
      </x:c>
      <x:c r="R4" s="41" t="str">
        <x:v>Breach head (m)</x:v>
      </x:c>
      <x:c r="S4" s="41" t="str">
        <x:v>Breach Cd</x:v>
      </x:c>
      <x:c r="T4" s="41" t="str">
        <x:v>Stranded people</x:v>
      </x:c>
      <x:c r="U4" s="41" t="str">
        <x:v>Urban suitability</x:v>
      </x:c>
      <x:c r="V4" s="41" t="str">
        <x:v>Swift suitability</x:v>
      </x:c>
      <x:c r="W4" s="41" t="str">
        <x:v>High-water suitability</x:v>
      </x:c>
      <x:c r="X4" s="41" t="str">
        <x:v>Heavy suitability</x:v>
      </x:c>
      <x:c r="Y4" s="41" t="str">
        <x:v>Coastal suitability</x:v>
      </x:c>
      <x:c r="Z4" s="41" t="str">
        <x:v>Protected area (km²)</x:v>
      </x:c>
      <x:c r="AA4" s="41" t="str">
        <x:v>Rain (mm/day)</x:v>
      </x:c>
      <x:c r="AB4" s="41" t="str">
        <x:v>Sewer flow (m³/s)</x:v>
      </x:c>
      <x:c r="AC4" s="41" t="str">
        <x:v>Barrier need (km)</x:v>
      </x:c>
      <x:c r="AD4" s="41" t="str">
        <x:v>Earth-fill share</x:v>
      </x:c>
      <x:c r="AE4" s="42" t="str">
        <x:v>Debris mass (t)</x:v>
      </x:c>
    </x:row>
    <x:row r="5">
      <x:c r="A5" s="54" t="str">
        <x:v>Trapped urban basin</x:v>
      </x:c>
      <x:c r="B5" s="55" t="n">
        <x:v>24</x:v>
      </x:c>
      <x:c r="C5" s="55" t="n">
        <x:v>50</x:v>
      </x:c>
      <x:c r="D5" s="55" t="n">
        <x:v>1.5</x:v>
      </x:c>
      <x:c r="E5" s="55" t="n">
        <x:v>75000000</x:v>
      </x:c>
      <x:c r="F5" s="55" t="n">
        <x:v>20</x:v>
      </x:c>
      <x:c r="G5" s="56" t="n">
        <x:v>0.93</x:v>
      </x:c>
      <x:c r="H5" s="55" t="n">
        <x:v>5</x:v>
      </x:c>
      <x:c r="I5" s="55" t="n">
        <x:v>5</x:v>
      </x:c>
      <x:c r="J5" s="55" t="n">
        <x:v>90</x:v>
      </x:c>
      <x:c r="K5" s="56" t="n">
        <x:v>0.9</x:v>
      </x:c>
      <x:c r="L5" s="56" t="n">
        <x:v>15</x:v>
      </x:c>
      <x:c r="M5" s="56" t="n">
        <x:v>0.95</x:v>
      </x:c>
      <x:c r="N5" s="56" t="n">
        <x:v>0.9</x:v>
      </x:c>
      <x:c r="O5" s="56" t="n">
        <x:v>0.35</x:v>
      </x:c>
      <x:c r="P5" s="55" t="n">
        <x:v>2</x:v>
      </x:c>
      <x:c r="Q5" s="55" t="n">
        <x:v>0</x:v>
      </x:c>
      <x:c r="R5" s="55" t="n">
        <x:v>0</x:v>
      </x:c>
      <x:c r="S5" s="57" t="n">
        <x:v>0</x:v>
      </x:c>
      <x:c r="T5" s="55" t="n">
        <x:v>40000</x:v>
      </x:c>
      <x:c r="U5" s="56" t="n">
        <x:v>1</x:v>
      </x:c>
      <x:c r="V5" s="56" t="n">
        <x:v>0.4</x:v>
      </x:c>
      <x:c r="W5" s="56" t="n">
        <x:v>1</x:v>
      </x:c>
      <x:c r="X5" s="56" t="n">
        <x:v>0.6</x:v>
      </x:c>
      <x:c r="Y5" s="56" t="n">
        <x:v>0.2</x:v>
      </x:c>
      <x:c r="Z5" s="55" t="n">
        <x:v>30</x:v>
      </x:c>
      <x:c r="AA5" s="55" t="n">
        <x:v>50</x:v>
      </x:c>
      <x:c r="AB5" s="55" t="n">
        <x:v>5</x:v>
      </x:c>
      <x:c r="AC5" s="55" t="n">
        <x:v>20</x:v>
      </x:c>
      <x:c r="AD5" s="56" t="n">
        <x:v>0.3</x:v>
      </x:c>
      <x:c r="AE5" s="55" t="n">
        <x:v>200000</x:v>
      </x:c>
    </x:row>
    <x:row r="6">
      <x:c r="A6" s="54" t="str">
        <x:v>Forecast river rise</x:v>
      </x:c>
      <x:c r="B6" s="55" t="n">
        <x:v>48</x:v>
      </x:c>
      <x:c r="C6" s="55" t="n">
        <x:v>200</x:v>
      </x:c>
      <x:c r="D6" s="55" t="n">
        <x:v>1</x:v>
      </x:c>
      <x:c r="E6" s="55" t="n">
        <x:v>200000000</x:v>
      </x:c>
      <x:c r="F6" s="55" t="n">
        <x:v>120</x:v>
      </x:c>
      <x:c r="G6" s="56" t="n">
        <x:v>0.97</x:v>
      </x:c>
      <x:c r="H6" s="55" t="n">
        <x:v>10</x:v>
      </x:c>
      <x:c r="I6" s="55" t="n">
        <x:v>80</x:v>
      </x:c>
      <x:c r="J6" s="55" t="n">
        <x:v>180</x:v>
      </x:c>
      <x:c r="K6" s="56" t="n">
        <x:v>0.95</x:v>
      </x:c>
      <x:c r="L6" s="56" t="n">
        <x:v>10</x:v>
      </x:c>
      <x:c r="M6" s="56" t="n">
        <x:v>0.9</x:v>
      </x:c>
      <x:c r="N6" s="56" t="n">
        <x:v>0.85</x:v>
      </x:c>
      <x:c r="O6" s="56" t="n">
        <x:v>0.15</x:v>
      </x:c>
      <x:c r="P6" s="55" t="n">
        <x:v>3</x:v>
      </x:c>
      <x:c r="Q6" s="55" t="n">
        <x:v>0</x:v>
      </x:c>
      <x:c r="R6" s="55" t="n">
        <x:v>0</x:v>
      </x:c>
      <x:c r="S6" s="57" t="n">
        <x:v>0</x:v>
      </x:c>
      <x:c r="T6" s="55" t="n">
        <x:v>100000</x:v>
      </x:c>
      <x:c r="U6" s="56" t="n">
        <x:v>0.6</x:v>
      </x:c>
      <x:c r="V6" s="56" t="n">
        <x:v>1</x:v>
      </x:c>
      <x:c r="W6" s="56" t="n">
        <x:v>0.8</x:v>
      </x:c>
      <x:c r="X6" s="56" t="n">
        <x:v>0.8</x:v>
      </x:c>
      <x:c r="Y6" s="56" t="n">
        <x:v>0.3</x:v>
      </x:c>
      <x:c r="Z6" s="55" t="n">
        <x:v>150</x:v>
      </x:c>
      <x:c r="AA6" s="55" t="n">
        <x:v>30</x:v>
      </x:c>
      <x:c r="AB6" s="55" t="n">
        <x:v>10</x:v>
      </x:c>
      <x:c r="AC6" s="55" t="n">
        <x:v>60</x:v>
      </x:c>
      <x:c r="AD6" s="56" t="n">
        <x:v>0.6</x:v>
      </x:c>
      <x:c r="AE6" s="55" t="n">
        <x:v>500000</x:v>
      </x:c>
    </x:row>
    <x:row r="7">
      <x:c r="A7" s="54" t="str">
        <x:v>Flash pluvial</x:v>
      </x:c>
      <x:c r="B7" s="55" t="n">
        <x:v>4</x:v>
      </x:c>
      <x:c r="C7" s="55" t="n">
        <x:v>20</x:v>
      </x:c>
      <x:c r="D7" s="55" t="n">
        <x:v>0.5</x:v>
      </x:c>
      <x:c r="E7" s="55" t="n">
        <x:v>10000000</x:v>
      </x:c>
      <x:c r="F7" s="55" t="n">
        <x:v>80</x:v>
      </x:c>
      <x:c r="G7" s="56" t="n">
        <x:v>0.5</x:v>
      </x:c>
      <x:c r="H7" s="55" t="n">
        <x:v>20</x:v>
      </x:c>
      <x:c r="I7" s="55" t="n">
        <x:v>40</x:v>
      </x:c>
      <x:c r="J7" s="55" t="n">
        <x:v>100</x:v>
      </x:c>
      <x:c r="K7" s="56" t="n">
        <x:v>0.8</x:v>
      </x:c>
      <x:c r="L7" s="56" t="n">
        <x:v>12</x:v>
      </x:c>
      <x:c r="M7" s="56" t="n">
        <x:v>0.85</x:v>
      </x:c>
      <x:c r="N7" s="56" t="n">
        <x:v>0.75</x:v>
      </x:c>
      <x:c r="O7" s="56" t="n">
        <x:v>0.25</x:v>
      </x:c>
      <x:c r="P7" s="55" t="n">
        <x:v>1</x:v>
      </x:c>
      <x:c r="Q7" s="55" t="n">
        <x:v>0</x:v>
      </x:c>
      <x:c r="R7" s="55" t="n">
        <x:v>0</x:v>
      </x:c>
      <x:c r="S7" s="57" t="n">
        <x:v>0</x:v>
      </x:c>
      <x:c r="T7" s="55" t="n">
        <x:v>25000</x:v>
      </x:c>
      <x:c r="U7" s="56" t="n">
        <x:v>1</x:v>
      </x:c>
      <x:c r="V7" s="56" t="n">
        <x:v>0.8</x:v>
      </x:c>
      <x:c r="W7" s="56" t="n">
        <x:v>1</x:v>
      </x:c>
      <x:c r="X7" s="56" t="n">
        <x:v>0.4</x:v>
      </x:c>
      <x:c r="Y7" s="56" t="n">
        <x:v>0.1</x:v>
      </x:c>
      <x:c r="Z7" s="55" t="n">
        <x:v>10</x:v>
      </x:c>
      <x:c r="AA7" s="55" t="n">
        <x:v>120</x:v>
      </x:c>
      <x:c r="AB7" s="55" t="n">
        <x:v>3</x:v>
      </x:c>
      <x:c r="AC7" s="55" t="n">
        <x:v>10</x:v>
      </x:c>
      <x:c r="AD7" s="56" t="n">
        <x:v>0.2</x:v>
      </x:c>
      <x:c r="AE7" s="55" t="n">
        <x:v>100000</x:v>
      </x:c>
    </x:row>
    <x:row r="8">
      <x:c r="A8" s="54" t="str">
        <x:v>Coastal compound</x:v>
      </x:c>
      <x:c r="B8" s="55" t="n">
        <x:v>36</x:v>
      </x:c>
      <x:c r="C8" s="55" t="n">
        <x:v>100</x:v>
      </x:c>
      <x:c r="D8" s="55" t="n">
        <x:v>1.2</x:v>
      </x:c>
      <x:c r="E8" s="55" t="n">
        <x:v>120000000</x:v>
      </x:c>
      <x:c r="F8" s="55" t="n">
        <x:v>150</x:v>
      </x:c>
      <x:c r="G8" s="56" t="n">
        <x:v>0.9</x:v>
      </x:c>
      <x:c r="H8" s="55" t="n">
        <x:v>20</x:v>
      </x:c>
      <x:c r="I8" s="55" t="n">
        <x:v>50</x:v>
      </x:c>
      <x:c r="J8" s="55" t="n">
        <x:v>150</x:v>
      </x:c>
      <x:c r="K8" s="56" t="n">
        <x:v>0.5</x:v>
      </x:c>
      <x:c r="L8" s="56" t="n">
        <x:v>8</x:v>
      </x:c>
      <x:c r="M8" s="56" t="n">
        <x:v>0.85</x:v>
      </x:c>
      <x:c r="N8" s="56" t="n">
        <x:v>0.75</x:v>
      </x:c>
      <x:c r="O8" s="56" t="n">
        <x:v>0.4</x:v>
      </x:c>
      <x:c r="P8" s="55" t="n">
        <x:v>4</x:v>
      </x:c>
      <x:c r="Q8" s="55" t="n">
        <x:v>0</x:v>
      </x:c>
      <x:c r="R8" s="55" t="n">
        <x:v>0</x:v>
      </x:c>
      <x:c r="S8" s="57" t="n">
        <x:v>0</x:v>
      </x:c>
      <x:c r="T8" s="55" t="n">
        <x:v>150000</x:v>
      </x:c>
      <x:c r="U8" s="56" t="n">
        <x:v>0.5</x:v>
      </x:c>
      <x:c r="V8" s="56" t="n">
        <x:v>0.7</x:v>
      </x:c>
      <x:c r="W8" s="56" t="n">
        <x:v>0.8</x:v>
      </x:c>
      <x:c r="X8" s="56" t="n">
        <x:v>1</x:v>
      </x:c>
      <x:c r="Y8" s="56" t="n">
        <x:v>1</x:v>
      </x:c>
      <x:c r="Z8" s="55" t="n">
        <x:v>80</x:v>
      </x:c>
      <x:c r="AA8" s="55" t="n">
        <x:v>75</x:v>
      </x:c>
      <x:c r="AB8" s="55" t="n">
        <x:v>10</x:v>
      </x:c>
      <x:c r="AC8" s="55" t="n">
        <x:v>50</x:v>
      </x:c>
      <x:c r="AD8" s="56" t="n">
        <x:v>0.4</x:v>
      </x:c>
      <x:c r="AE8" s="55" t="n">
        <x:v>800000</x:v>
      </x:c>
    </x:row>
    <x:row r="9">
      <x:c r="A9" s="54" t="str">
        <x:v>Levee breach</x:v>
      </x:c>
      <x:c r="B9" s="55" t="n">
        <x:v>2</x:v>
      </x:c>
      <x:c r="C9" s="55" t="n">
        <x:v>30</x:v>
      </x:c>
      <x:c r="D9" s="55" t="n">
        <x:v>2</x:v>
      </x:c>
      <x:c r="E9" s="55" t="n">
        <x:v>60000000</x:v>
      </x:c>
      <x:c r="F9" s="55" t="n">
        <x:v>30</x:v>
      </x:c>
      <x:c r="G9" s="56" t="n">
        <x:v>0.95</x:v>
      </x:c>
      <x:c r="H9" s="55" t="n">
        <x:v>5</x:v>
      </x:c>
      <x:c r="I9" s="55" t="n">
        <x:v>5</x:v>
      </x:c>
      <x:c r="J9" s="55" t="n">
        <x:v>120</x:v>
      </x:c>
      <x:c r="K9" s="56" t="n">
        <x:v>0.9</x:v>
      </x:c>
      <x:c r="L9" s="56" t="n">
        <x:v>15</x:v>
      </x:c>
      <x:c r="M9" s="56" t="n">
        <x:v>0.7</x:v>
      </x:c>
      <x:c r="N9" s="56" t="n">
        <x:v>0.6</x:v>
      </x:c>
      <x:c r="O9" s="56" t="n">
        <x:v>0.3</x:v>
      </x:c>
      <x:c r="P9" s="55" t="n">
        <x:v>3</x:v>
      </x:c>
      <x:c r="Q9" s="55" t="n">
        <x:v>12</x:v>
      </x:c>
      <x:c r="R9" s="55" t="n">
        <x:v>3</x:v>
      </x:c>
      <x:c r="S9" s="57" t="n">
        <x:v>0.6</x:v>
      </x:c>
      <x:c r="T9" s="55" t="n">
        <x:v>75000</x:v>
      </x:c>
      <x:c r="U9" s="56" t="n">
        <x:v>0.4</x:v>
      </x:c>
      <x:c r="V9" s="56" t="n">
        <x:v>1</x:v>
      </x:c>
      <x:c r="W9" s="56" t="n">
        <x:v>0.7</x:v>
      </x:c>
      <x:c r="X9" s="56" t="n">
        <x:v>0.8</x:v>
      </x:c>
      <x:c r="Y9" s="56" t="n">
        <x:v>0.2</x:v>
      </x:c>
      <x:c r="Z9" s="55" t="n">
        <x:v>25</x:v>
      </x:c>
      <x:c r="AA9" s="55" t="n">
        <x:v>40</x:v>
      </x:c>
      <x:c r="AB9" s="55" t="n">
        <x:v>4</x:v>
      </x:c>
      <x:c r="AC9" s="55" t="n">
        <x:v>20</x:v>
      </x:c>
      <x:c r="AD9" s="56" t="n">
        <x:v>0.8</x:v>
      </x:c>
      <x:c r="AE9" s="55" t="n">
        <x:v>600000</x:v>
      </x:c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  <x:c r="AA11" s="54"/>
      <x:c r="AB11" s="54"/>
      <x:c r="AC11" s="54"/>
      <x:c r="AD11" s="54"/>
      <x:c r="AE11" s="54"/>
    </x:row>
    <x:row r="12">
      <x:c r="A12" s="60" t="str">
        <x:v>Selected case</x:v>
      </x:c>
      <x:c r="B12" s="61"/>
      <x:c r="C12" s="61"/>
      <x:c r="D12" s="61"/>
      <x:c r="E12" s="62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  <x:c r="AA12" s="54"/>
      <x:c r="AB12" s="54"/>
      <x:c r="AC12" s="54"/>
      <x:c r="AD12" s="54"/>
      <x:c r="AE12" s="54"/>
    </x:row>
    <x:row r="13">
      <x:c r="A13" s="40" t="str">
        <x:v>Parameter</x:v>
      </x:c>
      <x:c r="B13" s="41" t="str">
        <x:v>Unit</x:v>
      </x:c>
      <x:c r="C13" s="41" t="str">
        <x:v>Value</x:v>
      </x:c>
      <x:c r="D13" s="41" t="str">
        <x:v>Decision role</x:v>
      </x:c>
      <x:c r="E13" s="42" t="str">
        <x:v>Limit</x:v>
      </x:c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</x:row>
    <x:row r="14">
      <x:c r="A14" s="54" t="str">
        <x:v>Action threshold</x:v>
      </x:c>
      <x:c r="B14" s="54" t="str">
        <x:v>hours</x:v>
      </x:c>
      <x:c r="C14" s="63" t="n">
        <x:f>INDEX($B$5:$AE$9,MATCH('Controls'!$C$6,$A$5:$A$9,0),1)</x:f>
        <x:v>24</x:v>
      </x:c>
      <x:c r="D14" s="54" t="str">
        <x:v>Scenario scale</x:v>
      </x:c>
      <x:c r="E14" s="54" t="str">
        <x:v>Illustrative case input</x:v>
      </x:c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  <x:c r="AA14" s="54"/>
      <x:c r="AB14" s="54"/>
      <x:c r="AC14" s="54"/>
      <x:c r="AD14" s="54"/>
      <x:c r="AE14" s="54"/>
    </x:row>
    <x:row r="15">
      <x:c r="A15" s="54" t="str">
        <x:v>Area</x:v>
      </x:c>
      <x:c r="B15" s="54" t="str">
        <x:v>km²</x:v>
      </x:c>
      <x:c r="C15" s="63" t="n">
        <x:f>INDEX($B$5:$AE$9,MATCH('Controls'!$C$6,$A$5:$A$9,0),2)</x:f>
        <x:v>50</x:v>
      </x:c>
      <x:c r="D15" s="54" t="str">
        <x:v>Scenario scale</x:v>
      </x:c>
      <x:c r="E15" s="54" t="str">
        <x:v>Illustrative case input</x:v>
      </x:c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  <x:c r="AA15" s="54"/>
      <x:c r="AB15" s="54"/>
      <x:c r="AC15" s="54"/>
      <x:c r="AD15" s="54"/>
      <x:c r="AE15" s="54"/>
    </x:row>
    <x:row r="16">
      <x:c r="A16" s="54" t="str">
        <x:v>Initial depth</x:v>
      </x:c>
      <x:c r="B16" s="54" t="str">
        <x:v>m</x:v>
      </x:c>
      <x:c r="C16" s="63" t="n">
        <x:f>INDEX($B$5:$AE$9,MATCH('Controls'!$C$6,$A$5:$A$9,0),3)</x:f>
        <x:v>1.5</x:v>
      </x:c>
      <x:c r="D16" s="54" t="str">
        <x:v>Scenario scale</x:v>
      </x:c>
      <x:c r="E16" s="54" t="str">
        <x:v>Illustrative case input</x:v>
      </x:c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  <x:c r="AA16" s="54"/>
      <x:c r="AB16" s="54"/>
      <x:c r="AC16" s="54"/>
      <x:c r="AD16" s="54"/>
      <x:c r="AE16" s="54"/>
    </x:row>
    <x:row r="17">
      <x:c r="A17" s="54" t="str">
        <x:v>Initial storage</x:v>
      </x:c>
      <x:c r="B17" s="54" t="str">
        <x:v>m³</x:v>
      </x:c>
      <x:c r="C17" s="63" t="n">
        <x:f>INDEX($B$5:$AE$9,MATCH('Controls'!$C$6,$A$5:$A$9,0),4)</x:f>
        <x:v>75000000</x:v>
      </x:c>
      <x:c r="D17" s="54" t="str">
        <x:v>Scenario scale</x:v>
      </x:c>
      <x:c r="E17" s="54" t="str">
        <x:v>Illustrative case input</x:v>
      </x:c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  <x:c r="AA17" s="54"/>
      <x:c r="AB17" s="54"/>
      <x:c r="AC17" s="54"/>
      <x:c r="AD17" s="54"/>
      <x:c r="AE17" s="54"/>
    </x:row>
    <x:row r="18">
      <x:c r="A18" s="54" t="str">
        <x:v>Base inflow</x:v>
      </x:c>
      <x:c r="B18" s="54" t="str">
        <x:v>m³/s</x:v>
      </x:c>
      <x:c r="C18" s="63" t="n">
        <x:f>INDEX($B$5:$AE$9,MATCH('Controls'!$C$6,$A$5:$A$9,0),5)</x:f>
        <x:v>20</x:v>
      </x:c>
      <x:c r="D18" s="54" t="str">
        <x:v>Hydraulic balance</x:v>
      </x:c>
      <x:c r="E18" s="54" t="str">
        <x:v>Illustrative case input</x:v>
      </x:c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  <x:c r="AA18" s="54"/>
      <x:c r="AB18" s="54"/>
      <x:c r="AC18" s="54"/>
      <x:c r="AD18" s="54"/>
      <x:c r="AE18" s="54"/>
    </x:row>
    <x:row r="19">
      <x:c r="A19" s="54" t="str">
        <x:v>Daily inflow retention</x:v>
      </x:c>
      <x:c r="B19" s="54" t="str">
        <x:v>% prior day</x:v>
      </x:c>
      <x:c r="C19" s="67" t="n">
        <x:f>INDEX($B$5:$AE$9,MATCH('Controls'!$C$6,$A$5:$A$9,0),6)</x:f>
        <x:v>0.93</x:v>
      </x:c>
      <x:c r="D19" s="54" t="str">
        <x:v>Hydraulic balance</x:v>
      </x:c>
      <x:c r="E19" s="54" t="str">
        <x:v>Illustrative case input</x:v>
      </x:c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4"/>
      <x:c r="AE19" s="54"/>
    </x:row>
    <x:row r="20">
      <x:c r="A20" s="54" t="str">
        <x:v>Rain inflow</x:v>
      </x:c>
      <x:c r="B20" s="54" t="str">
        <x:v>m³/s</x:v>
      </x:c>
      <x:c r="C20" s="63" t="n">
        <x:f>INDEX($B$5:$AE$9,MATCH('Controls'!$C$6,$A$5:$A$9,0),7)</x:f>
        <x:v>5</x:v>
      </x:c>
      <x:c r="D20" s="54" t="str">
        <x:v>Hydraulic balance</x:v>
      </x:c>
      <x:c r="E20" s="54" t="str">
        <x:v>Illustrative case input</x:v>
      </x:c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4"/>
      <x:c r="AB20" s="54"/>
      <x:c r="AC20" s="54"/>
      <x:c r="AD20" s="54"/>
      <x:c r="AE20" s="54"/>
    </x:row>
    <x:row r="21">
      <x:c r="A21" s="54" t="str">
        <x:v>Gravity cap</x:v>
      </x:c>
      <x:c r="B21" s="54" t="str">
        <x:v>m³/s</x:v>
      </x:c>
      <x:c r="C21" s="63" t="n">
        <x:f>INDEX($B$5:$AE$9,MATCH('Controls'!$C$6,$A$5:$A$9,0),8)</x:f>
        <x:v>5</x:v>
      </x:c>
      <x:c r="D21" s="54" t="str">
        <x:v>Hydraulic balance</x:v>
      </x:c>
      <x:c r="E21" s="54" t="str">
        <x:v>Illustrative case input</x:v>
      </x:c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</x:row>
    <x:row r="22">
      <x:c r="A22" s="54" t="str">
        <x:v>Receiving cap</x:v>
      </x:c>
      <x:c r="B22" s="54" t="str">
        <x:v>m³/s</x:v>
      </x:c>
      <x:c r="C22" s="63" t="n">
        <x:f>INDEX($B$5:$AE$9,MATCH('Controls'!$C$6,$A$5:$A$9,0),9)</x:f>
        <x:v>90</x:v>
      </x:c>
      <x:c r="D22" s="54" t="str">
        <x:v>Hydraulic balance</x:v>
      </x:c>
      <x:c r="E22" s="54" t="str">
        <x:v>Illustrative case input</x:v>
      </x:c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</x:row>
    <x:row r="23">
      <x:c r="A23" s="54" t="str">
        <x:v>Receiving availability</x:v>
      </x:c>
      <x:c r="B23" s="54" t="str">
        <x:v>% time</x:v>
      </x:c>
      <x:c r="C23" s="67" t="n">
        <x:f>INDEX($B$5:$AE$9,MATCH('Controls'!$C$6,$A$5:$A$9,0),10)</x:f>
        <x:v>0.9</x:v>
      </x:c>
      <x:c r="D23" s="54" t="str">
        <x:v>Hydraulic balance</x:v>
      </x:c>
      <x:c r="E23" s="54" t="str">
        <x:v>Illustrative case input</x:v>
      </x:c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</x:row>
    <x:row r="24">
      <x:c r="A24" s="54" t="str">
        <x:v>Total head</x:v>
      </x:c>
      <x:c r="B24" s="54" t="str">
        <x:v>m</x:v>
      </x:c>
      <x:c r="C24" s="67" t="n">
        <x:f>INDEX($B$5:$AE$9,MATCH('Controls'!$C$6,$A$5:$A$9,0),11)</x:f>
        <x:v>15</x:v>
      </x:c>
      <x:c r="D24" s="54" t="str">
        <x:v>Hydraulic balance</x:v>
      </x:c>
      <x:c r="E24" s="54" t="str">
        <x:v>Illustrative case input</x:v>
      </x:c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</x:row>
    <x:row r="25">
      <x:c r="A25" s="54" t="str">
        <x:v>Intake factor</x:v>
      </x:c>
      <x:c r="B25" s="54" t="str">
        <x:v>% nominal</x:v>
      </x:c>
      <x:c r="C25" s="67" t="n">
        <x:f>INDEX($B$5:$AE$9,MATCH('Controls'!$C$6,$A$5:$A$9,0),12)</x:f>
        <x:v>0.95</x:v>
      </x:c>
      <x:c r="D25" s="54" t="str">
        <x:v>Hydraulic balance</x:v>
      </x:c>
      <x:c r="E25" s="54" t="str">
        <x:v>Illustrative case input</x:v>
      </x:c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</x:row>
    <x:row r="26">
      <x:c r="A26" s="54" t="str">
        <x:v>Debris factor</x:v>
      </x:c>
      <x:c r="B26" s="54" t="str">
        <x:v>% nominal</x:v>
      </x:c>
      <x:c r="C26" s="67" t="n">
        <x:f>INDEX($B$5:$AE$9,MATCH('Controls'!$C$6,$A$5:$A$9,0),13)</x:f>
        <x:v>0.9</x:v>
      </x:c>
      <x:c r="D26" s="54" t="str">
        <x:v>Hydraulic balance</x:v>
      </x:c>
      <x:c r="E26" s="54" t="str">
        <x:v>Illustrative case input</x:v>
      </x:c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</x:row>
    <x:row r="27">
      <x:c r="A27" s="54" t="str">
        <x:v>Contaminated share</x:v>
      </x:c>
      <x:c r="B27" s="54" t="str">
        <x:v>% flow</x:v>
      </x:c>
      <x:c r="C27" s="67" t="n">
        <x:f>INDEX($B$5:$AE$9,MATCH('Controls'!$C$6,$A$5:$A$9,0),14)</x:f>
        <x:v>0.35</x:v>
      </x:c>
      <x:c r="D27" s="54" t="str">
        <x:v>Hydraulic balance</x:v>
      </x:c>
      <x:c r="E27" s="54" t="str">
        <x:v>Illustrative case input</x:v>
      </x:c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</x:row>
    <x:row r="28">
      <x:c r="A28" s="54" t="str">
        <x:v>Barrier depth</x:v>
      </x:c>
      <x:c r="B28" s="54" t="str">
        <x:v>m</x:v>
      </x:c>
      <x:c r="C28" s="63" t="n">
        <x:f>INDEX($B$5:$AE$9,MATCH('Controls'!$C$6,$A$5:$A$9,0),15)</x:f>
        <x:v>2</x:v>
      </x:c>
      <x:c r="D28" s="54" t="str">
        <x:v>Breach and rescue</x:v>
      </x:c>
      <x:c r="E28" s="54" t="str">
        <x:v>Illustrative case input</x:v>
      </x:c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</x:row>
    <x:row r="29">
      <x:c r="A29" s="54" t="str">
        <x:v>Breach width</x:v>
      </x:c>
      <x:c r="B29" s="54" t="str">
        <x:v>m</x:v>
      </x:c>
      <x:c r="C29" s="63" t="n">
        <x:f>INDEX($B$5:$AE$9,MATCH('Controls'!$C$6,$A$5:$A$9,0),16)</x:f>
        <x:v>0</x:v>
      </x:c>
      <x:c r="D29" s="54" t="str">
        <x:v>Breach and rescue</x:v>
      </x:c>
      <x:c r="E29" s="54" t="str">
        <x:v>Illustrative case input</x:v>
      </x:c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</x:row>
    <x:row r="30">
      <x:c r="A30" s="54" t="str">
        <x:v>Breach head</x:v>
      </x:c>
      <x:c r="B30" s="54" t="str">
        <x:v>m</x:v>
      </x:c>
      <x:c r="C30" s="63" t="n">
        <x:f>INDEX($B$5:$AE$9,MATCH('Controls'!$C$6,$A$5:$A$9,0),17)</x:f>
        <x:v>0</x:v>
      </x:c>
      <x:c r="D30" s="54" t="str">
        <x:v>Breach and rescue</x:v>
      </x:c>
      <x:c r="E30" s="54" t="str">
        <x:v>Illustrative case input</x:v>
      </x:c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</x:row>
    <x:row r="31">
      <x:c r="A31" s="54" t="str">
        <x:v>Breach Cd</x:v>
      </x:c>
      <x:c r="B31" s="54" t="str">
        <x:v>ratio</x:v>
      </x:c>
      <x:c r="C31" s="63" t="n">
        <x:f>INDEX($B$5:$AE$9,MATCH('Controls'!$C$6,$A$5:$A$9,0),18)</x:f>
        <x:v>0</x:v>
      </x:c>
      <x:c r="D31" s="54" t="str">
        <x:v>Breach and rescue</x:v>
      </x:c>
      <x:c r="E31" s="54" t="str">
        <x:v>Illustrative case input</x:v>
      </x:c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</x:row>
    <x:row r="32">
      <x:c r="A32" s="54" t="str">
        <x:v>Stranded people</x:v>
      </x:c>
      <x:c r="B32" s="54" t="str">
        <x:v>people</x:v>
      </x:c>
      <x:c r="C32" s="63" t="n">
        <x:f>INDEX($B$5:$AE$9,MATCH('Controls'!$C$6,$A$5:$A$9,0),19)</x:f>
        <x:v>40000</x:v>
      </x:c>
      <x:c r="D32" s="54" t="str">
        <x:v>Breach and rescue</x:v>
      </x:c>
      <x:c r="E32" s="54" t="str">
        <x:v>Illustrative case input</x:v>
      </x:c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</x:row>
    <x:row r="33">
      <x:c r="A33" s="54" t="str">
        <x:v>Protected area</x:v>
      </x:c>
      <x:c r="B33" s="54" t="str">
        <x:v>km²</x:v>
      </x:c>
      <x:c r="C33" s="63" t="n">
        <x:f>INDEX($B$5:$AE$9,MATCH('Controls'!$C$6,$A$5:$A$9,0),25)</x:f>
        <x:v>30</x:v>
      </x:c>
      <x:c r="D33" s="54" t="str">
        <x:v>Protection and recovery</x:v>
      </x:c>
      <x:c r="E33" s="54" t="str">
        <x:v>Illustrative case input</x:v>
      </x:c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</x:row>
    <x:row r="34">
      <x:c r="A34" s="54" t="str">
        <x:v>Rainfall</x:v>
      </x:c>
      <x:c r="B34" s="54" t="str">
        <x:v>mm/day</x:v>
      </x:c>
      <x:c r="C34" s="63" t="n">
        <x:f>INDEX($B$5:$AE$9,MATCH('Controls'!$C$6,$A$5:$A$9,0),26)</x:f>
        <x:v>50</x:v>
      </x:c>
      <x:c r="D34" s="54" t="str">
        <x:v>Protection and recovery</x:v>
      </x:c>
      <x:c r="E34" s="54" t="str">
        <x:v>Illustrative case input</x:v>
      </x:c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</x:row>
    <x:row r="35">
      <x:c r="A35" s="54" t="str">
        <x:v>Sewer flow</x:v>
      </x:c>
      <x:c r="B35" s="54" t="str">
        <x:v>m³/s</x:v>
      </x:c>
      <x:c r="C35" s="63" t="n">
        <x:f>INDEX($B$5:$AE$9,MATCH('Controls'!$C$6,$A$5:$A$9,0),27)</x:f>
        <x:v>5</x:v>
      </x:c>
      <x:c r="D35" s="54" t="str">
        <x:v>Protection and recovery</x:v>
      </x:c>
      <x:c r="E35" s="54" t="str">
        <x:v>Illustrative case input</x:v>
      </x:c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</x:row>
    <x:row r="36">
      <x:c r="A36" s="54" t="str">
        <x:v>Barrier need</x:v>
      </x:c>
      <x:c r="B36" s="54" t="str">
        <x:v>km</x:v>
      </x:c>
      <x:c r="C36" s="63" t="n">
        <x:f>INDEX($B$5:$AE$9,MATCH('Controls'!$C$6,$A$5:$A$9,0),28)</x:f>
        <x:v>20</x:v>
      </x:c>
      <x:c r="D36" s="54" t="str">
        <x:v>Protection and recovery</x:v>
      </x:c>
      <x:c r="E36" s="54" t="str">
        <x:v>Illustrative case input</x:v>
      </x:c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</x:row>
    <x:row r="37">
      <x:c r="A37" s="54" t="str">
        <x:v>Earth-fill share</x:v>
      </x:c>
      <x:c r="B37" s="54" t="str">
        <x:v>% barrier</x:v>
      </x:c>
      <x:c r="C37" s="67" t="n">
        <x:f>INDEX($B$5:$AE$9,MATCH('Controls'!$C$6,$A$5:$A$9,0),29)</x:f>
        <x:v>0.3</x:v>
      </x:c>
      <x:c r="D37" s="54" t="str">
        <x:v>Protection and recovery</x:v>
      </x:c>
      <x:c r="E37" s="54" t="str">
        <x:v>Illustrative case input</x:v>
      </x:c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</x:row>
    <x:row r="38">
      <x:c r="A38" s="54" t="str">
        <x:v>Debris mass</x:v>
      </x:c>
      <x:c r="B38" s="54" t="str">
        <x:v>t</x:v>
      </x:c>
      <x:c r="C38" s="63" t="n">
        <x:f>INDEX($B$5:$AE$9,MATCH('Controls'!$C$6,$A$5:$A$9,0),30)</x:f>
        <x:v>200000</x:v>
      </x:c>
      <x:c r="D38" s="54" t="str">
        <x:v>Protection and recovery</x:v>
      </x:c>
      <x:c r="E38" s="54" t="str">
        <x:v>Illustrative case input</x:v>
      </x:c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</x:row>
  </x:sheetData>
  <x:mergeCells>
    <x:mergeCell ref="A1:AE1"/>
    <x:mergeCell ref="A2:A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</x:cols>
  <x:sheetData>
    <x:row r="1" ht="24" customHeight="1">
      <x:c r="A1" s="52" t="str">
        <x:v>Forecast and effective-action clock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</x:row>
    <x:row r="2" ht="28" customHeight="1">
      <x:c r="A2" s="38" t="str">
        <x:v>The complete clock ends at effective hydraulic or rescue action. The probability is a logistic approximation matched to assumed P50 and P90 totals.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</x:row>
    <x:row r="4">
      <x:c r="A4" s="40" t="str">
        <x:v>Stage</x:v>
      </x:c>
      <x:c r="B4" s="41" t="str">
        <x:v>Selected P50 (h)</x:v>
      </x:c>
      <x:c r="C4" s="41" t="str">
        <x:v>Selected P90 (h)</x:v>
      </x:c>
      <x:c r="D4" s="42" t="str">
        <x:v>Operational meaning</x:v>
      </x:c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</x:row>
    <x:row r="5">
      <x:c r="A5" s="54" t="str">
        <x:v>Forecast or detection</x:v>
      </x:c>
      <x:c r="B5" s="71" t="n">
        <x:f>INDEX($B$28:$B$30,MATCH('Controls'!$C$5,$A$28:$A$30,0))*INDEX($E$28:$K$30,MATCH('Controls'!$C$5,$A$28:$A$30,0),1)</x:f>
        <x:v>2</x:v>
      </x:c>
      <x:c r="C5" s="71" t="n">
        <x:f>INDEX($C$28:$C$30,MATCH('Controls'!$C$5,$A$28:$A$30,0))*INDEX($E$28:$K$30,MATCH('Controls'!$C$5,$A$28:$A$30,0),1)</x:f>
        <x:v>4</x:v>
      </x:c>
      <x:c r="D5" s="54" t="str">
        <x:v>Hazard signal becomes available</x:v>
      </x:c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</x:row>
    <x:row r="6">
      <x:c r="A6" s="54" t="str">
        <x:v>Verification</x:v>
      </x:c>
      <x:c r="B6" s="71" t="n">
        <x:f>INDEX($B$28:$B$30,MATCH('Controls'!$C$5,$A$28:$A$30,0))*INDEX($E$28:$K$30,MATCH('Controls'!$C$5,$A$28:$A$30,0),2)</x:f>
        <x:v>1</x:v>
      </x:c>
      <x:c r="C6" s="71" t="n">
        <x:f>INDEX($C$28:$C$30,MATCH('Controls'!$C$5,$A$28:$A$30,0))*INDEX($E$28:$K$30,MATCH('Controls'!$C$5,$A$28:$A$30,0),2)</x:f>
        <x:v>2</x:v>
      </x:c>
      <x:c r="D6" s="54" t="str">
        <x:v>Location and consequence checked</x:v>
      </x:c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</x:row>
    <x:row r="7">
      <x:c r="A7" s="54" t="str">
        <x:v>Civil decision</x:v>
      </x:c>
      <x:c r="B7" s="71" t="n">
        <x:f>INDEX($B$28:$B$30,MATCH('Controls'!$C$5,$A$28:$A$30,0))*INDEX($E$28:$K$30,MATCH('Controls'!$C$5,$A$28:$A$30,0),3)</x:f>
        <x:v>1</x:v>
      </x:c>
      <x:c r="C7" s="71" t="n">
        <x:f>INDEX($C$28:$C$30,MATCH('Controls'!$C$5,$A$28:$A$30,0))*INDEX($E$28:$K$30,MATCH('Controls'!$C$5,$A$28:$A$30,0),3)</x:f>
        <x:v>2</x:v>
      </x:c>
      <x:c r="D7" s="54" t="str">
        <x:v>Authority sets action</x:v>
      </x:c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</x:row>
    <x:row r="8">
      <x:c r="A8" s="54" t="str">
        <x:v>Mobilization</x:v>
      </x:c>
      <x:c r="B8" s="71" t="n">
        <x:f>INDEX($B$28:$B$30,MATCH('Controls'!$C$5,$A$28:$A$30,0))*INDEX($E$28:$K$30,MATCH('Controls'!$C$5,$A$28:$A$30,0),4)</x:f>
        <x:v>6</x:v>
      </x:c>
      <x:c r="C8" s="71" t="n">
        <x:f>INDEX($C$28:$C$30,MATCH('Controls'!$C$5,$A$28:$A$30,0))*INDEX($E$28:$K$30,MATCH('Controls'!$C$5,$A$28:$A$30,0),4)</x:f>
        <x:v>12</x:v>
      </x:c>
      <x:c r="D8" s="54" t="str">
        <x:v>Crew and equipment launch</x:v>
      </x:c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</x:row>
    <x:row r="9">
      <x:c r="A9" s="54" t="str">
        <x:v>Travel</x:v>
      </x:c>
      <x:c r="B9" s="71" t="n">
        <x:f>INDEX($B$28:$B$30,MATCH('Controls'!$C$5,$A$28:$A$30,0))*INDEX($E$28:$K$30,MATCH('Controls'!$C$5,$A$28:$A$30,0),5)</x:f>
        <x:v>8</x:v>
      </x:c>
      <x:c r="C9" s="71" t="n">
        <x:f>INDEX($C$28:$C$30,MATCH('Controls'!$C$5,$A$28:$A$30,0))*INDEX($E$28:$K$30,MATCH('Controls'!$C$5,$A$28:$A$30,0),5)</x:f>
        <x:v>16</x:v>
      </x:c>
      <x:c r="D9" s="54" t="str">
        <x:v>Route to target</x:v>
      </x:c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</x:row>
    <x:row r="10">
      <x:c r="A10" s="54" t="str">
        <x:v>Site setup</x:v>
      </x:c>
      <x:c r="B10" s="71" t="n">
        <x:f>INDEX($B$28:$B$30,MATCH('Controls'!$C$5,$A$28:$A$30,0))*INDEX($E$28:$K$30,MATCH('Controls'!$C$5,$A$28:$A$30,0),6)</x:f>
        <x:v>3</x:v>
      </x:c>
      <x:c r="C10" s="71" t="n">
        <x:f>INDEX($C$28:$C$30,MATCH('Controls'!$C$5,$A$28:$A$30,0))*INDEX($E$28:$K$30,MATCH('Controls'!$C$5,$A$28:$A$30,0),6)</x:f>
        <x:v>6</x:v>
      </x:c>
      <x:c r="D10" s="54" t="str">
        <x:v>Survey, safety and connections</x:v>
      </x:c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</x:row>
    <x:row r="11">
      <x:c r="A11" s="54" t="str">
        <x:v>First effective action</x:v>
      </x:c>
      <x:c r="B11" s="71" t="n">
        <x:f>INDEX($B$28:$B$30,MATCH('Controls'!$C$5,$A$28:$A$30,0))*INDEX($E$28:$K$30,MATCH('Controls'!$C$5,$A$28:$A$30,0),7)</x:f>
        <x:v>3</x:v>
      </x:c>
      <x:c r="C11" s="71" t="n">
        <x:f>INDEX($C$28:$C$30,MATCH('Controls'!$C$5,$A$28:$A$30,0))*INDEX($E$28:$K$30,MATCH('Controls'!$C$5,$A$28:$A$30,0),7)</x:f>
        <x:v>6</x:v>
      </x:c>
      <x:c r="D11" s="54" t="str">
        <x:v>Barrier, rescue, pump or breach action produces effect</x:v>
      </x:c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</x:row>
    <x:row r="14">
      <x:c r="A14" s="60" t="str">
        <x:v>Clock result</x:v>
      </x:c>
      <x:c r="B14" s="61"/>
      <x:c r="C14" s="61"/>
      <x:c r="D14" s="62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</x:row>
    <x:row r="15">
      <x:c r="A15" s="40" t="str">
        <x:v>Measure</x:v>
      </x:c>
      <x:c r="B15" s="41" t="str">
        <x:v>Value</x:v>
      </x:c>
      <x:c r="C15" s="41" t="str">
        <x:v>Unit</x:v>
      </x:c>
      <x:c r="D15" s="42" t="str">
        <x:v>Interpretation</x:v>
      </x:c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</x:row>
    <x:row r="16">
      <x:c r="A16" s="54" t="str">
        <x:v>Total P50</x:v>
      </x:c>
      <x:c r="B16" s="63" t="n">
        <x:f>SUM(B5:B11)</x:f>
        <x:v>24</x:v>
      </x:c>
      <x:c r="C16" s="54" t="str">
        <x:v>hours</x:v>
      </x:c>
      <x:c r="D16" s="54" t="str">
        <x:v>Median complete action</x:v>
      </x:c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</x:row>
    <x:row r="17">
      <x:c r="A17" s="54" t="str">
        <x:v>Total P90</x:v>
      </x:c>
      <x:c r="B17" s="63" t="n">
        <x:f>SUM(C5:C11)</x:f>
        <x:v>48</x:v>
      </x:c>
      <x:c r="C17" s="54" t="str">
        <x:v>hours</x:v>
      </x:c>
      <x:c r="D17" s="54" t="str">
        <x:v>Tail complete action</x:v>
      </x:c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</x:row>
    <x:row r="18">
      <x:c r="A18" s="54" t="str">
        <x:v>Approximate sigma</x:v>
      </x:c>
      <x:c r="B18" s="63" t="n">
        <x:f>(B17-B16)/1.28155</x:f>
        <x:v>18.727322383051774</x:v>
      </x:c>
      <x:c r="C18" s="54" t="str">
        <x:v>hours</x:v>
      </x:c>
      <x:c r="D18" s="54" t="str">
        <x:v>Spread inferred from P50/P90</x:v>
      </x:c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</x:row>
    <x:row r="19">
      <x:c r="A19" s="54" t="str">
        <x:v>Case action threshold</x:v>
      </x:c>
      <x:c r="B19" s="63" t="n">
        <x:f>'Flood Cases'!$C$14</x:f>
        <x:v>24</x:v>
      </x:c>
      <x:c r="C19" s="54" t="str">
        <x:v>hours</x:v>
      </x:c>
      <x:c r="D19" s="54" t="str">
        <x:v>Case-specific threshold</x:v>
      </x:c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</x:row>
    <x:row r="20">
      <x:c r="A20" s="54" t="str">
        <x:v>Modeled action before threshold</x:v>
      </x:c>
      <x:c r="B20" s="67" t="n">
        <x:f>IF(B17&lt;=B16,IF(B19&gt;=B16,1,0),1/(1+EXP(-((B19-B16)/((B17-B16)/LN(9))))))</x:f>
        <x:v>0.5</x:v>
      </x:c>
      <x:c r="C20" s="54" t="str">
        <x:v>probability</x:v>
      </x:c>
      <x:c r="D20" s="54" t="str">
        <x:v>Analytical approximation, not empirical</x:v>
      </x:c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</x:row>
    <x:row r="21">
      <x:c r="A21" s="54" t="str">
        <x:v>P90 margin to threshold</x:v>
      </x:c>
      <x:c r="B21" s="63" t="n">
        <x:f>B19-B17</x:f>
        <x:v>-24</x:v>
      </x:c>
      <x:c r="C21" s="54" t="str">
        <x:v>hours</x:v>
      </x:c>
      <x:c r="D21" s="54" t="str">
        <x:v>Positive means P90 acts before threshold</x:v>
      </x:c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</x:row>
    <x:row r="22">
      <x:c r="A22" s="54" t="str">
        <x:v>Probability method</x:v>
      </x:c>
      <x:c r="B22" s="54" t="str">
        <x:v>Logistic approximation</x:v>
      </x:c>
      <x:c r="C22" s="54" t="str">
        <x:v>text</x:v>
      </x:c>
      <x:c r="D22" s="54" t="str">
        <x:v>Logistic CDF matched to assumed P50/P90</x:v>
      </x:c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</x:row>
    <x:row r="26">
      <x:c r="A26" s="60" t="str">
        <x:v>Formation stage allocation</x:v>
      </x:c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2"/>
    </x:row>
    <x:row r="27">
      <x:c r="A27" s="40" t="str">
        <x:v>Formation</x:v>
      </x:c>
      <x:c r="B27" s="41" t="str">
        <x:v>Total P50</x:v>
      </x:c>
      <x:c r="C27" s="41" t="str">
        <x:v>Total P90</x:v>
      </x:c>
      <x:c r="D27" s="41" t="str">
        <x:v>Check</x:v>
      </x:c>
      <x:c r="E27" s="41" t="str">
        <x:v>Forecast</x:v>
      </x:c>
      <x:c r="F27" s="41" t="str">
        <x:v>Verify</x:v>
      </x:c>
      <x:c r="G27" s="41" t="str">
        <x:v>Decision</x:v>
      </x:c>
      <x:c r="H27" s="41" t="str">
        <x:v>Mobilize</x:v>
      </x:c>
      <x:c r="I27" s="41" t="str">
        <x:v>Travel</x:v>
      </x:c>
      <x:c r="J27" s="41" t="str">
        <x:v>Site</x:v>
      </x:c>
      <x:c r="K27" s="41" t="str">
        <x:v>Effective</x:v>
      </x:c>
      <x:c r="L27" s="41" t="str">
        <x:v>Forecast P90</x:v>
      </x:c>
      <x:c r="M27" s="41" t="str">
        <x:v>Verify P90</x:v>
      </x:c>
      <x:c r="N27" s="41" t="str">
        <x:v>Decision P90</x:v>
      </x:c>
      <x:c r="O27" s="42" t="str">
        <x:v>Remaining P90</x:v>
      </x:c>
    </x:row>
    <x:row r="28">
      <x:c r="A28" s="54" t="str">
        <x:v>FIN Regional Cell</x:v>
      </x:c>
      <x:c r="B28" s="55" t="n">
        <x:v>4</x:v>
      </x:c>
      <x:c r="C28" s="55" t="n">
        <x:v>10</x:v>
      </x:c>
      <x:c r="D28" s="55" t="str">
        <x:v>Fractions</x:v>
      </x:c>
      <x:c r="E28" s="56" t="n">
        <x:v>0.125</x:v>
      </x:c>
      <x:c r="F28" s="56" t="n">
        <x:v>0.0625</x:v>
      </x:c>
      <x:c r="G28" s="56" t="n">
        <x:v>0.0625</x:v>
      </x:c>
      <x:c r="H28" s="56" t="n">
        <x:v>0.25</x:v>
      </x:c>
      <x:c r="I28" s="56" t="n">
        <x:v>0.25</x:v>
      </x:c>
      <x:c r="J28" s="56" t="n">
        <x:v>0.125</x:v>
      </x:c>
      <x:c r="K28" s="56" t="n">
        <x:v>0.125</x:v>
      </x:c>
      <x:c r="L28" s="56" t="n">
        <x:v>0.15</x:v>
      </x:c>
      <x:c r="M28" s="56" t="n">
        <x:v>0.075</x:v>
      </x:c>
      <x:c r="N28" s="56" t="n">
        <x:v>0.075</x:v>
      </x:c>
      <x:c r="O28" s="56" t="n">
        <x:v>0.7</x:v>
      </x:c>
    </x:row>
    <x:row r="29">
      <x:c r="A29" s="54" t="str">
        <x:v>Inland HCG-100</x:v>
      </x:c>
      <x:c r="B29" s="55" t="n">
        <x:v>24</x:v>
      </x:c>
      <x:c r="C29" s="55" t="n">
        <x:v>48</x:v>
      </x:c>
      <x:c r="D29" s="55" t="str">
        <x:v>Fractions</x:v>
      </x:c>
      <x:c r="E29" s="56" t="n">
        <x:v>0.08333333333333333</x:v>
      </x:c>
      <x:c r="F29" s="56" t="n">
        <x:v>0.041666666666666664</x:v>
      </x:c>
      <x:c r="G29" s="56" t="n">
        <x:v>0.041666666666666664</x:v>
      </x:c>
      <x:c r="H29" s="56" t="n">
        <x:v>0.25</x:v>
      </x:c>
      <x:c r="I29" s="56" t="n">
        <x:v>0.3333333333333333</x:v>
      </x:c>
      <x:c r="J29" s="56" t="n">
        <x:v>0.125</x:v>
      </x:c>
      <x:c r="K29" s="56" t="n">
        <x:v>0.125</x:v>
      </x:c>
      <x:c r="L29" s="56" t="n">
        <x:v>0.10416666666666667</x:v>
      </x:c>
      <x:c r="M29" s="56" t="n">
        <x:v>0.041666666666666664</x:v>
      </x:c>
      <x:c r="N29" s="56" t="n">
        <x:v>0.041666666666666664</x:v>
      </x:c>
      <x:c r="O29" s="56" t="n">
        <x:v>0.8125</x:v>
      </x:c>
    </x:row>
    <x:row r="30">
      <x:c r="A30" s="54" t="str">
        <x:v>Coastal HCG-100</x:v>
      </x:c>
      <x:c r="B30" s="55" t="n">
        <x:v>36</x:v>
      </x:c>
      <x:c r="C30" s="55" t="n">
        <x:v>72</x:v>
      </x:c>
      <x:c r="D30" s="55" t="str">
        <x:v>Fractions</x:v>
      </x:c>
      <x:c r="E30" s="56" t="n">
        <x:v>0.08333333333333333</x:v>
      </x:c>
      <x:c r="F30" s="56" t="n">
        <x:v>0.027777777777777776</x:v>
      </x:c>
      <x:c r="G30" s="56" t="n">
        <x:v>0.05555555555555555</x:v>
      </x:c>
      <x:c r="H30" s="56" t="n">
        <x:v>0.2222222222222222</x:v>
      </x:c>
      <x:c r="I30" s="56" t="n">
        <x:v>0.3333333333333333</x:v>
      </x:c>
      <x:c r="J30" s="56" t="n">
        <x:v>0.1388888888888889</x:v>
      </x:c>
      <x:c r="K30" s="56" t="n">
        <x:v>0.1388888888888889</x:v>
      </x:c>
      <x:c r="L30" s="56" t="n">
        <x:v>0.1111111111111111</x:v>
      </x:c>
      <x:c r="M30" s="56" t="n">
        <x:v>0.041666666666666664</x:v>
      </x:c>
      <x:c r="N30" s="56" t="n">
        <x:v>0.05555555555555555</x:v>
      </x:c>
      <x:c r="O30" s="56" t="n">
        <x:v>0.7916666666666666</x:v>
      </x:c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7" hidden="0" customWidth="1"/>
    <x:col min="5" max="5" width="19" hidden="0" customWidth="1"/>
    <x:col min="6" max="6" width="16" hidden="0" customWidth="1"/>
    <x:col min="7" max="7" width="15" hidden="0" customWidth="1"/>
    <x:col min="8" max="8" width="17" hidden="0" customWidth="1"/>
    <x:col min="9" max="9" width="20" hidden="0" customWidth="1"/>
    <x:col min="10" max="10" width="18" hidden="0" customWidth="1"/>
  </x:cols>
  <x:sheetData>
    <x:row r="1" ht="24" customHeight="1">
      <x:c r="A1" s="52" t="str">
        <x:v>Basin zones and consequence weights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The basin is divided into consequence zones. Shares are planning allocations and must be replaced by surveyed terrain, population and infrastructure.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Zone</x:v>
      </x:c>
      <x:c r="B4" s="41" t="str">
        <x:v>Area share</x:v>
      </x:c>
      <x:c r="C4" s="41" t="str">
        <x:v>Depth factor</x:v>
      </x:c>
      <x:c r="D4" s="41" t="str">
        <x:v>Population share</x:v>
      </x:c>
      <x:c r="E4" s="41" t="str">
        <x:v>Depth threshold (m)</x:v>
      </x:c>
      <x:c r="F4" s="41" t="str">
        <x:v>Priority weight</x:v>
      </x:c>
      <x:c r="G4" s="41" t="str">
        <x:v>Area (km²)</x:v>
      </x:c>
      <x:c r="H4" s="41" t="str">
        <x:v>Initial depth (m)</x:v>
      </x:c>
      <x:c r="I4" s="41" t="str">
        <x:v>Initial storage (m³)</x:v>
      </x:c>
      <x:c r="J4" s="42" t="str">
        <x:v>Population at risk</x:v>
      </x:c>
    </x:row>
    <x:row r="5">
      <x:c r="A5" s="54" t="str">
        <x:v>P0 health and command</x:v>
      </x:c>
      <x:c r="B5" s="56" t="n">
        <x:v>0.05</x:v>
      </x:c>
      <x:c r="C5" s="55" t="n">
        <x:v>0.8</x:v>
      </x:c>
      <x:c r="D5" s="56" t="n">
        <x:v>0.05</x:v>
      </x:c>
      <x:c r="E5" s="55" t="n">
        <x:v>0.15</x:v>
      </x:c>
      <x:c r="F5" s="55" t="n">
        <x:v>5</x:v>
      </x:c>
      <x:c r="G5" s="86" t="n">
        <x:f>'Flood Cases'!$C$15*B5</x:f>
        <x:v>2.5</x:v>
      </x:c>
      <x:c r="H5" s="86" t="n">
        <x:f>'Flood Cases'!$C$16*C5</x:f>
        <x:v>1.2000000000000002</x:v>
      </x:c>
      <x:c r="I5" s="87" t="n">
        <x:f>G5*1000000*H5</x:f>
        <x:v>3000000.0000000005</x:v>
      </x:c>
      <x:c r="J5" s="87" t="n">
        <x:f>'Flood Cases'!$C$32*D5</x:f>
        <x:v>2000</x:v>
      </x:c>
    </x:row>
    <x:row r="6">
      <x:c r="A6" s="54" t="str">
        <x:v>Dense residential</x:v>
      </x:c>
      <x:c r="B6" s="56" t="n">
        <x:v>0.25</x:v>
      </x:c>
      <x:c r="C6" s="55" t="n">
        <x:v>1.1</x:v>
      </x:c>
      <x:c r="D6" s="56" t="n">
        <x:v>0.45</x:v>
      </x:c>
      <x:c r="E6" s="55" t="n">
        <x:v>0.2</x:v>
      </x:c>
      <x:c r="F6" s="55" t="n">
        <x:v>4</x:v>
      </x:c>
      <x:c r="G6" s="86" t="n">
        <x:f>'Flood Cases'!$C$15*B6</x:f>
        <x:v>12.5</x:v>
      </x:c>
      <x:c r="H6" s="86" t="n">
        <x:f>'Flood Cases'!$C$16*C6</x:f>
        <x:v>1.6500000000000001</x:v>
      </x:c>
      <x:c r="I6" s="87" t="n">
        <x:f>G6*1000000*H6</x:f>
        <x:v>20625000</x:v>
      </x:c>
      <x:c r="J6" s="87" t="n">
        <x:f>'Flood Cases'!$C$32*D6</x:f>
        <x:v>18000</x:v>
      </x:c>
    </x:row>
    <x:row r="7">
      <x:c r="A7" s="54" t="str">
        <x:v>Utilities and transport</x:v>
      </x:c>
      <x:c r="B7" s="56" t="n">
        <x:v>0.1</x:v>
      </x:c>
      <x:c r="C7" s="55" t="n">
        <x:v>1</x:v>
      </x:c>
      <x:c r="D7" s="56" t="n">
        <x:v>0.05</x:v>
      </x:c>
      <x:c r="E7" s="55" t="n">
        <x:v>0.25</x:v>
      </x:c>
      <x:c r="F7" s="55" t="n">
        <x:v>5</x:v>
      </x:c>
      <x:c r="G7" s="86" t="n">
        <x:f>'Flood Cases'!$C$15*B7</x:f>
        <x:v>5</x:v>
      </x:c>
      <x:c r="H7" s="86" t="n">
        <x:f>'Flood Cases'!$C$16*C7</x:f>
        <x:v>1.5</x:v>
      </x:c>
      <x:c r="I7" s="87" t="n">
        <x:f>G7*1000000*H7</x:f>
        <x:v>7500000</x:v>
      </x:c>
      <x:c r="J7" s="87" t="n">
        <x:f>'Flood Cases'!$C$32*D7</x:f>
        <x:v>2000</x:v>
      </x:c>
    </x:row>
    <x:row r="8">
      <x:c r="A8" s="54" t="str">
        <x:v>Industrial and hazardous</x:v>
      </x:c>
      <x:c r="B8" s="56" t="n">
        <x:v>0.1</x:v>
      </x:c>
      <x:c r="C8" s="55" t="n">
        <x:v>1.2</x:v>
      </x:c>
      <x:c r="D8" s="56" t="n">
        <x:v>0.05</x:v>
      </x:c>
      <x:c r="E8" s="55" t="n">
        <x:v>0.3</x:v>
      </x:c>
      <x:c r="F8" s="55" t="n">
        <x:v>5</x:v>
      </x:c>
      <x:c r="G8" s="86" t="n">
        <x:f>'Flood Cases'!$C$15*B8</x:f>
        <x:v>5</x:v>
      </x:c>
      <x:c r="H8" s="86" t="n">
        <x:f>'Flood Cases'!$C$16*C8</x:f>
        <x:v>1.7999999999999998</x:v>
      </x:c>
      <x:c r="I8" s="87" t="n">
        <x:f>G8*1000000*H8</x:f>
        <x:v>9000000</x:v>
      </x:c>
      <x:c r="J8" s="87" t="n">
        <x:f>'Flood Cases'!$C$32*D8</x:f>
        <x:v>2000</x:v>
      </x:c>
    </x:row>
    <x:row r="9">
      <x:c r="A9" s="54" t="str">
        <x:v>Mixed residential</x:v>
      </x:c>
      <x:c r="B9" s="56" t="n">
        <x:v>0.25</x:v>
      </x:c>
      <x:c r="C9" s="55" t="n">
        <x:v>1</x:v>
      </x:c>
      <x:c r="D9" s="56" t="n">
        <x:v>0.3</x:v>
      </x:c>
      <x:c r="E9" s="55" t="n">
        <x:v>0.3</x:v>
      </x:c>
      <x:c r="F9" s="55" t="n">
        <x:v>3</x:v>
      </x:c>
      <x:c r="G9" s="86" t="n">
        <x:f>'Flood Cases'!$C$15*B9</x:f>
        <x:v>12.5</x:v>
      </x:c>
      <x:c r="H9" s="86" t="n">
        <x:f>'Flood Cases'!$C$16*C9</x:f>
        <x:v>1.5</x:v>
      </x:c>
      <x:c r="I9" s="87" t="n">
        <x:f>G9*1000000*H9</x:f>
        <x:v>18750000</x:v>
      </x:c>
      <x:c r="J9" s="87" t="n">
        <x:f>'Flood Cases'!$C$32*D9</x:f>
        <x:v>12000</x:v>
      </x:c>
    </x:row>
    <x:row r="10">
      <x:c r="A10" s="54" t="str">
        <x:v>Low-density/agriculture</x:v>
      </x:c>
      <x:c r="B10" s="56" t="n">
        <x:v>0.25</x:v>
      </x:c>
      <x:c r="C10" s="55" t="n">
        <x:v>0.9</x:v>
      </x:c>
      <x:c r="D10" s="56" t="n">
        <x:v>0.1</x:v>
      </x:c>
      <x:c r="E10" s="55" t="n">
        <x:v>0.5</x:v>
      </x:c>
      <x:c r="F10" s="55" t="n">
        <x:v>1</x:v>
      </x:c>
      <x:c r="G10" s="86" t="n">
        <x:f>'Flood Cases'!$C$15*B10</x:f>
        <x:v>12.5</x:v>
      </x:c>
      <x:c r="H10" s="86" t="n">
        <x:f>'Flood Cases'!$C$16*C10</x:f>
        <x:v>1.35</x:v>
      </x:c>
      <x:c r="I10" s="87" t="n">
        <x:f>G10*1000000*H10</x:f>
        <x:v>16875000</x:v>
      </x:c>
      <x:c r="J10" s="87" t="n">
        <x:f>'Flood Cases'!$C$32*D10</x:f>
        <x:v>4000</x:v>
      </x:c>
    </x:row>
    <x:row r="11">
      <x:c r="A11" s="54"/>
      <x:c r="B11" s="88"/>
      <x:c r="C11" s="54"/>
      <x:c r="D11" s="88"/>
      <x:c r="E11" s="54"/>
      <x:c r="F11" s="54"/>
      <x:c r="G11" s="86"/>
      <x:c r="H11" s="86"/>
      <x:c r="I11" s="87"/>
      <x:c r="J11" s="87"/>
    </x:row>
    <x:row r="12">
      <x:c r="A12" s="54" t="str">
        <x:v>Total</x:v>
      </x:c>
      <x:c r="B12" s="88" t="n">
        <x:f>SUM(B5:B10)</x:f>
        <x:v>1</x:v>
      </x:c>
      <x:c r="C12" s="54" t="str"/>
      <x:c r="D12" s="88" t="n">
        <x:f>SUM(D5:D10)</x:f>
        <x:v>1.0000000000000002</x:v>
      </x:c>
      <x:c r="E12" s="54" t="str"/>
      <x:c r="F12" s="54" t="str"/>
      <x:c r="G12" s="86" t="n">
        <x:f>SUM(G5:G10)</x:f>
        <x:v>50</x:v>
      </x:c>
      <x:c r="H12" s="86" t="str"/>
      <x:c r="I12" s="87" t="n">
        <x:f>SUM(I5:I10)</x:f>
        <x:v>75750000</x:v>
      </x:c>
      <x:c r="J12" s="87" t="n">
        <x:f>SUM(J5:J10)</x:f>
        <x:v>40000</x:v>
      </x:c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85" t="str">
        <x:v>Limitation</x:v>
      </x:c>
      <x:c r="B15" s="85" t="str">
        <x:v>Zone shares do not represent a real city. Depth, population, utilities and thresholds require a common vertical datum and surveyed terrain before operational use.</x:v>
      </x:c>
      <x:c r="C15" s="85"/>
      <x:c r="D15" s="85"/>
      <x:c r="E15" s="85"/>
      <x:c r="F15" s="85"/>
      <x:c r="G15" s="85"/>
      <x:c r="H15" s="85"/>
      <x:c r="I15" s="85"/>
      <x:c r="J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</x:row>
  </x:sheetData>
  <x:mergeCells>
    <x:mergeCell ref="A1:J1"/>
    <x:mergeCell ref="A2:J2"/>
    <x:mergeCell ref="B15:J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8" hidden="0" customWidth="1"/>
    <x:col min="4" max="4" width="19" hidden="0" customWidth="1"/>
    <x:col min="5" max="5" width="18" hidden="0" customWidth="1"/>
    <x:col min="6" max="6" width="22" hidden="0" customWidth="1"/>
    <x:col min="7" max="7" width="20" hidden="0" customWidth="1"/>
    <x:col min="8" max="8" width="19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</x:cols>
  <x:sheetData>
    <x:row r="1" ht="24" customHeight="1">
      <x:c r="A1" s="52" t="str">
        <x:v>Time-indexed basin mass balance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38" t="str">
        <x:v>Daily screen tracks continuing inflow, rain, breach, gravity discharge, pump output, remaining storage and average depth for 45 days.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</x:row>
    <x:row r="4">
      <x:c r="A4" s="40" t="str">
        <x:v>Day</x:v>
      </x:c>
      <x:c r="B4" s="41" t="str">
        <x:v>Base inflow (m³/s)</x:v>
      </x:c>
      <x:c r="C4" s="41" t="str">
        <x:v>Rain inflow (m³/s)</x:v>
      </x:c>
      <x:c r="D4" s="41" t="str">
        <x:v>Breach inflow (m³/s)</x:v>
      </x:c>
      <x:c r="E4" s="41" t="str">
        <x:v>Total inflow (m³/s)</x:v>
      </x:c>
      <x:c r="F4" s="41" t="str">
        <x:v>Gravity discharge (m³/s)</x:v>
      </x:c>
      <x:c r="G4" s="41" t="str">
        <x:v>Pump discharge (m³/s)</x:v>
      </x:c>
      <x:c r="H4" s="41" t="str">
        <x:v>Net removal (m³/s)</x:v>
      </x:c>
      <x:c r="I4" s="41" t="str">
        <x:v>Start storage (m³)</x:v>
      </x:c>
      <x:c r="J4" s="41" t="str">
        <x:v>End storage (m³)</x:v>
      </x:c>
      <x:c r="K4" s="41" t="str">
        <x:v>Average depth (m)</x:v>
      </x:c>
      <x:c r="L4" s="42" t="str">
        <x:v>Storage remaining</x:v>
      </x:c>
    </x:row>
    <x:row r="5">
      <x:c r="A5" s="54" t="n">
        <x:v>0</x:v>
      </x:c>
      <x:c r="B5" s="86" t="n">
        <x:f>'Flood Cases'!$C$18*('Flood Cases'!$C$19^A5)</x:f>
        <x:v>20</x:v>
      </x:c>
      <x:c r="C5" s="86" t="n">
        <x:f>'Flood Cases'!$C$20*('Flood Cases'!$C$19^A5)</x:f>
        <x:v>5</x:v>
      </x:c>
      <x:c r="D5" s="86" t="n">
        <x:f>IF('Breach Growth Arrest'!$B$8=0,0,IF(A5*24&lt;'Breach Growth Arrest'!$B$9,'Breach Growth Arrest'!$B$8,'Breach Growth Arrest'!$B$11))</x:f>
        <x:v>0</x:v>
      </x:c>
      <x:c r="E5" s="86" t="n">
        <x:f>SUM(B5:D5)</x:f>
        <x:v>25</x:v>
      </x:c>
      <x:c r="F5" s="86" t="n">
        <x:f>'Flood Cases'!$C$21*'Flood Cases'!$C$23</x:f>
        <x:v>4.5</x:v>
      </x:c>
      <x:c r="G5" s="86" t="n">
        <x:f>'Receiving Discharge'!$B$13</x:f>
        <x:v>36.551249999999996</x:v>
      </x:c>
      <x:c r="H5" s="86" t="n">
        <x:f>F5+G5-E5</x:f>
        <x:v>16.051249999999996</x:v>
      </x:c>
      <x:c r="I5" s="86" t="n">
        <x:f>'Flood Cases'!$C$17</x:f>
        <x:v>75000000</x:v>
      </x:c>
      <x:c r="J5" s="86" t="n">
        <x:f>MAX(0,I5-H5*86400)</x:f>
        <x:v>73613172</x:v>
      </x:c>
      <x:c r="K5" s="86" t="n">
        <x:f>J5/('Flood Cases'!$C$15*1000000)</x:f>
        <x:v>1.47226344</x:v>
      </x:c>
      <x:c r="L5" s="67" t="n">
        <x:f>J5/'Flood Cases'!$C$17</x:f>
        <x:v>0.98150896</x:v>
      </x:c>
    </x:row>
    <x:row r="6">
      <x:c r="A6" s="54" t="n">
        <x:v>1</x:v>
      </x:c>
      <x:c r="B6" s="86" t="n">
        <x:f>'Flood Cases'!$C$18*('Flood Cases'!$C$19^A6)</x:f>
        <x:v>18.6</x:v>
      </x:c>
      <x:c r="C6" s="86" t="n">
        <x:f>'Flood Cases'!$C$20*('Flood Cases'!$C$19^A6)</x:f>
        <x:v>4.65</x:v>
      </x:c>
      <x:c r="D6" s="86" t="n">
        <x:f>IF('Breach Growth Arrest'!$B$8=0,0,IF(A6*24&lt;'Breach Growth Arrest'!$B$9,'Breach Growth Arrest'!$B$8,'Breach Growth Arrest'!$B$11))</x:f>
        <x:v>0</x:v>
      </x:c>
      <x:c r="E6" s="86" t="n">
        <x:f>SUM(B6:D6)</x:f>
        <x:v>23.25</x:v>
      </x:c>
      <x:c r="F6" s="86" t="n">
        <x:f>'Flood Cases'!$C$21*'Flood Cases'!$C$23</x:f>
        <x:v>4.5</x:v>
      </x:c>
      <x:c r="G6" s="86" t="n">
        <x:f>'Receiving Discharge'!$B$13</x:f>
        <x:v>36.551249999999996</x:v>
      </x:c>
      <x:c r="H6" s="86" t="n">
        <x:f>F6+G6-E6</x:f>
        <x:v>17.801249999999996</x:v>
      </x:c>
      <x:c r="I6" s="86" t="n">
        <x:f>J5</x:f>
        <x:v>73613172</x:v>
      </x:c>
      <x:c r="J6" s="86" t="n">
        <x:f>MAX(0,I6-H6*86400)</x:f>
        <x:v>72075144</x:v>
      </x:c>
      <x:c r="K6" s="86" t="n">
        <x:f>J6/('Flood Cases'!$C$15*1000000)</x:f>
        <x:v>1.44150288</x:v>
      </x:c>
      <x:c r="L6" s="67" t="n">
        <x:f>J6/'Flood Cases'!$C$17</x:f>
        <x:v>0.96100192</x:v>
      </x:c>
    </x:row>
    <x:row r="7">
      <x:c r="A7" s="54" t="n">
        <x:v>2</x:v>
      </x:c>
      <x:c r="B7" s="86" t="n">
        <x:f>'Flood Cases'!$C$18*('Flood Cases'!$C$19^A7)</x:f>
        <x:v>17.298000000000002</x:v>
      </x:c>
      <x:c r="C7" s="86" t="n">
        <x:f>'Flood Cases'!$C$20*('Flood Cases'!$C$19^A7)</x:f>
        <x:v>4.3245000000000005</x:v>
      </x:c>
      <x:c r="D7" s="86" t="n">
        <x:f>IF('Breach Growth Arrest'!$B$8=0,0,IF(A7*24&lt;'Breach Growth Arrest'!$B$9,'Breach Growth Arrest'!$B$8,'Breach Growth Arrest'!$B$11))</x:f>
        <x:v>0</x:v>
      </x:c>
      <x:c r="E7" s="86" t="n">
        <x:f>SUM(B7:D7)</x:f>
        <x:v>21.622500000000002</x:v>
      </x:c>
      <x:c r="F7" s="86" t="n">
        <x:f>'Flood Cases'!$C$21*'Flood Cases'!$C$23</x:f>
        <x:v>4.5</x:v>
      </x:c>
      <x:c r="G7" s="86" t="n">
        <x:f>'Receiving Discharge'!$B$13</x:f>
        <x:v>36.551249999999996</x:v>
      </x:c>
      <x:c r="H7" s="86" t="n">
        <x:f>F7+G7-E7</x:f>
        <x:v>19.428749999999994</x:v>
      </x:c>
      <x:c r="I7" s="86" t="n">
        <x:f>J6</x:f>
        <x:v>72075144</x:v>
      </x:c>
      <x:c r="J7" s="86" t="n">
        <x:f>MAX(0,I7-H7*86400)</x:f>
        <x:v>70396500</x:v>
      </x:c>
      <x:c r="K7" s="86" t="n">
        <x:f>J7/('Flood Cases'!$C$15*1000000)</x:f>
        <x:v>1.40793</x:v>
      </x:c>
      <x:c r="L7" s="67" t="n">
        <x:f>J7/'Flood Cases'!$C$17</x:f>
        <x:v>0.93862</x:v>
      </x:c>
    </x:row>
    <x:row r="8">
      <x:c r="A8" s="54" t="n">
        <x:v>3</x:v>
      </x:c>
      <x:c r="B8" s="86" t="n">
        <x:f>'Flood Cases'!$C$18*('Flood Cases'!$C$19^A8)</x:f>
        <x:v>16.08714</x:v>
      </x:c>
      <x:c r="C8" s="86" t="n">
        <x:f>'Flood Cases'!$C$20*('Flood Cases'!$C$19^A8)</x:f>
        <x:v>4.021785</x:v>
      </x:c>
      <x:c r="D8" s="86" t="n">
        <x:f>IF('Breach Growth Arrest'!$B$8=0,0,IF(A8*24&lt;'Breach Growth Arrest'!$B$9,'Breach Growth Arrest'!$B$8,'Breach Growth Arrest'!$B$11))</x:f>
        <x:v>0</x:v>
      </x:c>
      <x:c r="E8" s="86" t="n">
        <x:f>SUM(B8:D8)</x:f>
        <x:v>20.108925000000003</x:v>
      </x:c>
      <x:c r="F8" s="86" t="n">
        <x:f>'Flood Cases'!$C$21*'Flood Cases'!$C$23</x:f>
        <x:v>4.5</x:v>
      </x:c>
      <x:c r="G8" s="86" t="n">
        <x:f>'Receiving Discharge'!$B$13</x:f>
        <x:v>36.551249999999996</x:v>
      </x:c>
      <x:c r="H8" s="86" t="n">
        <x:f>F8+G8-E8</x:f>
        <x:v>20.942324999999993</x:v>
      </x:c>
      <x:c r="I8" s="86" t="n">
        <x:f>J7</x:f>
        <x:v>70396500</x:v>
      </x:c>
      <x:c r="J8" s="86" t="n">
        <x:f>MAX(0,I8-H8*86400)</x:f>
        <x:v>68587083.12</x:v>
      </x:c>
      <x:c r="K8" s="86" t="n">
        <x:f>J8/('Flood Cases'!$C$15*1000000)</x:f>
        <x:v>1.3717416624</x:v>
      </x:c>
      <x:c r="L8" s="67" t="n">
        <x:f>J8/'Flood Cases'!$C$17</x:f>
        <x:v>0.9144944416</x:v>
      </x:c>
    </x:row>
    <x:row r="9">
      <x:c r="A9" s="54" t="n">
        <x:v>4</x:v>
      </x:c>
      <x:c r="B9" s="86" t="n">
        <x:f>'Flood Cases'!$C$18*('Flood Cases'!$C$19^A9)</x:f>
        <x:v>14.961040200000005</x:v>
      </x:c>
      <x:c r="C9" s="86" t="n">
        <x:f>'Flood Cases'!$C$20*('Flood Cases'!$C$19^A9)</x:f>
        <x:v>3.740260050000001</x:v>
      </x:c>
      <x:c r="D9" s="86" t="n">
        <x:f>IF('Breach Growth Arrest'!$B$8=0,0,IF(A9*24&lt;'Breach Growth Arrest'!$B$9,'Breach Growth Arrest'!$B$8,'Breach Growth Arrest'!$B$11))</x:f>
        <x:v>0</x:v>
      </x:c>
      <x:c r="E9" s="86" t="n">
        <x:f>SUM(B9:D9)</x:f>
        <x:v>18.701300250000006</x:v>
      </x:c>
      <x:c r="F9" s="86" t="n">
        <x:f>'Flood Cases'!$C$21*'Flood Cases'!$C$23</x:f>
        <x:v>4.5</x:v>
      </x:c>
      <x:c r="G9" s="86" t="n">
        <x:f>'Receiving Discharge'!$B$13</x:f>
        <x:v>36.551249999999996</x:v>
      </x:c>
      <x:c r="H9" s="86" t="n">
        <x:f>F9+G9-E9</x:f>
        <x:v>22.34994974999999</x:v>
      </x:c>
      <x:c r="I9" s="86" t="n">
        <x:f>J8</x:f>
        <x:v>68587083.12</x:v>
      </x:c>
      <x:c r="J9" s="86" t="n">
        <x:f>MAX(0,I9-H9*86400)</x:f>
        <x:v>66656047.461600006</x:v>
      </x:c>
      <x:c r="K9" s="86" t="n">
        <x:f>J9/('Flood Cases'!$C$15*1000000)</x:f>
        <x:v>1.3331209492320002</x:v>
      </x:c>
      <x:c r="L9" s="67" t="n">
        <x:f>J9/'Flood Cases'!$C$17</x:f>
        <x:v>0.888747299488</x:v>
      </x:c>
    </x:row>
    <x:row r="10">
      <x:c r="A10" s="54" t="n">
        <x:v>5</x:v>
      </x:c>
      <x:c r="B10" s="86" t="n">
        <x:f>'Flood Cases'!$C$18*('Flood Cases'!$C$19^A10)</x:f>
        <x:v>13.913767386000004</x:v>
      </x:c>
      <x:c r="C10" s="86" t="n">
        <x:f>'Flood Cases'!$C$20*('Flood Cases'!$C$19^A10)</x:f>
        <x:v>3.478441846500001</x:v>
      </x:c>
      <x:c r="D10" s="86" t="n">
        <x:f>IF('Breach Growth Arrest'!$B$8=0,0,IF(A10*24&lt;'Breach Growth Arrest'!$B$9,'Breach Growth Arrest'!$B$8,'Breach Growth Arrest'!$B$11))</x:f>
        <x:v>0</x:v>
      </x:c>
      <x:c r="E10" s="86" t="n">
        <x:f>SUM(B10:D10)</x:f>
        <x:v>17.392209232500004</x:v>
      </x:c>
      <x:c r="F10" s="86" t="n">
        <x:f>'Flood Cases'!$C$21*'Flood Cases'!$C$23</x:f>
        <x:v>4.5</x:v>
      </x:c>
      <x:c r="G10" s="86" t="n">
        <x:f>'Receiving Discharge'!$B$13</x:f>
        <x:v>36.551249999999996</x:v>
      </x:c>
      <x:c r="H10" s="86" t="n">
        <x:f>F10+G10-E10</x:f>
        <x:v>23.65904076749999</x:v>
      </x:c>
      <x:c r="I10" s="86" t="n">
        <x:f>J9</x:f>
        <x:v>66656047.461600006</x:v>
      </x:c>
      <x:c r="J10" s="86" t="n">
        <x:f>MAX(0,I10-H10*86400)</x:f>
        <x:v>64611906.339288004</x:v>
      </x:c>
      <x:c r="K10" s="86" t="n">
        <x:f>J10/('Flood Cases'!$C$15*1000000)</x:f>
        <x:v>1.29223812678576</x:v>
      </x:c>
      <x:c r="L10" s="67" t="n">
        <x:f>J10/'Flood Cases'!$C$17</x:f>
        <x:v>0.8614920845238401</x:v>
      </x:c>
    </x:row>
    <x:row r="11">
      <x:c r="A11" s="54" t="n">
        <x:v>6</x:v>
      </x:c>
      <x:c r="B11" s="86" t="n">
        <x:f>'Flood Cases'!$C$18*('Flood Cases'!$C$19^A11)</x:f>
        <x:v>12.939803668980003</x:v>
      </x:c>
      <x:c r="C11" s="86" t="n">
        <x:f>'Flood Cases'!$C$20*('Flood Cases'!$C$19^A11)</x:f>
        <x:v>3.234950917245001</x:v>
      </x:c>
      <x:c r="D11" s="86" t="n">
        <x:f>IF('Breach Growth Arrest'!$B$8=0,0,IF(A11*24&lt;'Breach Growth Arrest'!$B$9,'Breach Growth Arrest'!$B$8,'Breach Growth Arrest'!$B$11))</x:f>
        <x:v>0</x:v>
      </x:c>
      <x:c r="E11" s="86" t="n">
        <x:f>SUM(B11:D11)</x:f>
        <x:v>16.174754586225003</x:v>
      </x:c>
      <x:c r="F11" s="86" t="n">
        <x:f>'Flood Cases'!$C$21*'Flood Cases'!$C$23</x:f>
        <x:v>4.5</x:v>
      </x:c>
      <x:c r="G11" s="86" t="n">
        <x:f>'Receiving Discharge'!$B$13</x:f>
        <x:v>36.551249999999996</x:v>
      </x:c>
      <x:c r="H11" s="86" t="n">
        <x:f>F11+G11-E11</x:f>
        <x:v>24.876495413774993</x:v>
      </x:c>
      <x:c r="I11" s="86" t="n">
        <x:f>J10</x:f>
        <x:v>64611906.339288004</x:v>
      </x:c>
      <x:c r="J11" s="86" t="n">
        <x:f>MAX(0,I11-H11*86400)</x:f>
        <x:v>62462577.13553785</x:v>
      </x:c>
      <x:c r="K11" s="86" t="n">
        <x:f>J11/('Flood Cases'!$C$15*1000000)</x:f>
        <x:v>1.249251542710757</x:v>
      </x:c>
      <x:c r="L11" s="67" t="n">
        <x:f>J11/'Flood Cases'!$C$17</x:f>
        <x:v>0.8328343618071713</x:v>
      </x:c>
    </x:row>
    <x:row r="12">
      <x:c r="A12" s="54" t="n">
        <x:v>7</x:v>
      </x:c>
      <x:c r="B12" s="86" t="n">
        <x:f>'Flood Cases'!$C$18*('Flood Cases'!$C$19^A12)</x:f>
        <x:v>12.034017412151405</x:v>
      </x:c>
      <x:c r="C12" s="86" t="n">
        <x:f>'Flood Cases'!$C$20*('Flood Cases'!$C$19^A12)</x:f>
        <x:v>3.0085043530378512</x:v>
      </x:c>
      <x:c r="D12" s="86" t="n">
        <x:f>IF('Breach Growth Arrest'!$B$8=0,0,IF(A12*24&lt;'Breach Growth Arrest'!$B$9,'Breach Growth Arrest'!$B$8,'Breach Growth Arrest'!$B$11))</x:f>
        <x:v>0</x:v>
      </x:c>
      <x:c r="E12" s="86" t="n">
        <x:f>SUM(B12:D12)</x:f>
        <x:v>15.042521765189257</x:v>
      </x:c>
      <x:c r="F12" s="86" t="n">
        <x:f>'Flood Cases'!$C$21*'Flood Cases'!$C$23</x:f>
        <x:v>4.5</x:v>
      </x:c>
      <x:c r="G12" s="86" t="n">
        <x:f>'Receiving Discharge'!$B$13</x:f>
        <x:v>36.551249999999996</x:v>
      </x:c>
      <x:c r="H12" s="86" t="n">
        <x:f>F12+G12-E12</x:f>
        <x:v>26.00872823481074</x:v>
      </x:c>
      <x:c r="I12" s="86" t="n">
        <x:f>J11</x:f>
        <x:v>62462577.13553785</x:v>
      </x:c>
      <x:c r="J12" s="86" t="n">
        <x:f>MAX(0,I12-H12*86400)</x:f>
        <x:v>60215423.0160502</x:v>
      </x:c>
      <x:c r="K12" s="86" t="n">
        <x:f>J12/('Flood Cases'!$C$15*1000000)</x:f>
        <x:v>1.204308460321004</x:v>
      </x:c>
      <x:c r="L12" s="67" t="n">
        <x:f>J12/'Flood Cases'!$C$17</x:f>
        <x:v>0.8028723068806694</x:v>
      </x:c>
    </x:row>
    <x:row r="13">
      <x:c r="A13" s="54" t="n">
        <x:v>8</x:v>
      </x:c>
      <x:c r="B13" s="86" t="n">
        <x:f>'Flood Cases'!$C$18*('Flood Cases'!$C$19^A13)</x:f>
        <x:v>11.191636193300807</x:v>
      </x:c>
      <x:c r="C13" s="86" t="n">
        <x:f>'Flood Cases'!$C$20*('Flood Cases'!$C$19^A13)</x:f>
        <x:v>2.797909048325202</x:v>
      </x:c>
      <x:c r="D13" s="86" t="n">
        <x:f>IF('Breach Growth Arrest'!$B$8=0,0,IF(A13*24&lt;'Breach Growth Arrest'!$B$9,'Breach Growth Arrest'!$B$8,'Breach Growth Arrest'!$B$11))</x:f>
        <x:v>0</x:v>
      </x:c>
      <x:c r="E13" s="86" t="n">
        <x:f>SUM(B13:D13)</x:f>
        <x:v>13.98954524162601</x:v>
      </x:c>
      <x:c r="F13" s="86" t="n">
        <x:f>'Flood Cases'!$C$21*'Flood Cases'!$C$23</x:f>
        <x:v>4.5</x:v>
      </x:c>
      <x:c r="G13" s="86" t="n">
        <x:f>'Receiving Discharge'!$B$13</x:f>
        <x:v>36.551249999999996</x:v>
      </x:c>
      <x:c r="H13" s="86" t="n">
        <x:f>F13+G13-E13</x:f>
        <x:v>27.061704758373985</x:v>
      </x:c>
      <x:c r="I13" s="86" t="n">
        <x:f>J12</x:f>
        <x:v>60215423.0160502</x:v>
      </x:c>
      <x:c r="J13" s="86" t="n">
        <x:f>MAX(0,I13-H13*86400)</x:f>
        <x:v>57877291.72492669</x:v>
      </x:c>
      <x:c r="K13" s="86" t="n">
        <x:f>J13/('Flood Cases'!$C$15*1000000)</x:f>
        <x:v>1.1575458344985337</x:v>
      </x:c>
      <x:c r="L13" s="67" t="n">
        <x:f>J13/'Flood Cases'!$C$17</x:f>
        <x:v>0.7716972229990225</x:v>
      </x:c>
    </x:row>
    <x:row r="14">
      <x:c r="A14" s="54" t="n">
        <x:v>9</x:v>
      </x:c>
      <x:c r="B14" s="86" t="n">
        <x:f>'Flood Cases'!$C$18*('Flood Cases'!$C$19^A14)</x:f>
        <x:v>10.408221659769751</x:v>
      </x:c>
      <x:c r="C14" s="86" t="n">
        <x:f>'Flood Cases'!$C$20*('Flood Cases'!$C$19^A14)</x:f>
        <x:v>2.6020554149424377</x:v>
      </x:c>
      <x:c r="D14" s="86" t="n">
        <x:f>IF('Breach Growth Arrest'!$B$8=0,0,IF(A14*24&lt;'Breach Growth Arrest'!$B$9,'Breach Growth Arrest'!$B$8,'Breach Growth Arrest'!$B$11))</x:f>
        <x:v>0</x:v>
      </x:c>
      <x:c r="E14" s="86" t="n">
        <x:f>SUM(B14:D14)</x:f>
        <x:v>13.010277074712189</x:v>
      </x:c>
      <x:c r="F14" s="86" t="n">
        <x:f>'Flood Cases'!$C$21*'Flood Cases'!$C$23</x:f>
        <x:v>4.5</x:v>
      </x:c>
      <x:c r="G14" s="86" t="n">
        <x:f>'Receiving Discharge'!$B$13</x:f>
        <x:v>36.551249999999996</x:v>
      </x:c>
      <x:c r="H14" s="86" t="n">
        <x:f>F14+G14-E14</x:f>
        <x:v>28.040972925287807</x:v>
      </x:c>
      <x:c r="I14" s="86" t="n">
        <x:f>J13</x:f>
        <x:v>57877291.72492669</x:v>
      </x:c>
      <x:c r="J14" s="86" t="n">
        <x:f>MAX(0,I14-H14*86400)</x:f>
        <x:v>55454551.66418182</x:v>
      </x:c>
      <x:c r="K14" s="86" t="n">
        <x:f>J14/('Flood Cases'!$C$15*1000000)</x:f>
        <x:v>1.1090910332836363</x:v>
      </x:c>
      <x:c r="L14" s="67" t="n">
        <x:f>J14/'Flood Cases'!$C$17</x:f>
        <x:v>0.7393940221890909</x:v>
      </x:c>
    </x:row>
    <x:row r="15">
      <x:c r="A15" s="54" t="n">
        <x:v>10</x:v>
      </x:c>
      <x:c r="B15" s="86" t="n">
        <x:f>'Flood Cases'!$C$18*('Flood Cases'!$C$19^A15)</x:f>
        <x:v>9.679646143585869</x:v>
      </x:c>
      <x:c r="C15" s="86" t="n">
        <x:f>'Flood Cases'!$C$20*('Flood Cases'!$C$19^A15)</x:f>
        <x:v>2.419911535896467</x:v>
      </x:c>
      <x:c r="D15" s="86" t="n">
        <x:f>IF('Breach Growth Arrest'!$B$8=0,0,IF(A15*24&lt;'Breach Growth Arrest'!$B$9,'Breach Growth Arrest'!$B$8,'Breach Growth Arrest'!$B$11))</x:f>
        <x:v>0</x:v>
      </x:c>
      <x:c r="E15" s="86" t="n">
        <x:f>SUM(B15:D15)</x:f>
        <x:v>12.099557679482336</x:v>
      </x:c>
      <x:c r="F15" s="86" t="n">
        <x:f>'Flood Cases'!$C$21*'Flood Cases'!$C$23</x:f>
        <x:v>4.5</x:v>
      </x:c>
      <x:c r="G15" s="86" t="n">
        <x:f>'Receiving Discharge'!$B$13</x:f>
        <x:v>36.551249999999996</x:v>
      </x:c>
      <x:c r="H15" s="86" t="n">
        <x:f>F15+G15-E15</x:f>
        <x:v>28.951692320517658</x:v>
      </x:c>
      <x:c r="I15" s="86" t="n">
        <x:f>J14</x:f>
        <x:v>55454551.66418182</x:v>
      </x:c>
      <x:c r="J15" s="86" t="n">
        <x:f>MAX(0,I15-H15*86400)</x:f>
        <x:v>52953125.44768909</x:v>
      </x:c>
      <x:c r="K15" s="86" t="n">
        <x:f>J15/('Flood Cases'!$C$15*1000000)</x:f>
        <x:v>1.059062508953782</x:v>
      </x:c>
      <x:c r="L15" s="67" t="n">
        <x:f>J15/'Flood Cases'!$C$17</x:f>
        <x:v>0.7060416726358546</x:v>
      </x:c>
    </x:row>
    <x:row r="16">
      <x:c r="A16" s="54" t="n">
        <x:v>11</x:v>
      </x:c>
      <x:c r="B16" s="86" t="n">
        <x:f>'Flood Cases'!$C$18*('Flood Cases'!$C$19^A16)</x:f>
        <x:v>9.002070913534858</x:v>
      </x:c>
      <x:c r="C16" s="86" t="n">
        <x:f>'Flood Cases'!$C$20*('Flood Cases'!$C$19^A16)</x:f>
        <x:v>2.2505177283837146</x:v>
      </x:c>
      <x:c r="D16" s="86" t="n">
        <x:f>IF('Breach Growth Arrest'!$B$8=0,0,IF(A16*24&lt;'Breach Growth Arrest'!$B$9,'Breach Growth Arrest'!$B$8,'Breach Growth Arrest'!$B$11))</x:f>
        <x:v>0</x:v>
      </x:c>
      <x:c r="E16" s="86" t="n">
        <x:f>SUM(B16:D16)</x:f>
        <x:v>11.252588641918573</x:v>
      </x:c>
      <x:c r="F16" s="86" t="n">
        <x:f>'Flood Cases'!$C$21*'Flood Cases'!$C$23</x:f>
        <x:v>4.5</x:v>
      </x:c>
      <x:c r="G16" s="86" t="n">
        <x:f>'Receiving Discharge'!$B$13</x:f>
        <x:v>36.551249999999996</x:v>
      </x:c>
      <x:c r="H16" s="86" t="n">
        <x:f>F16+G16-E16</x:f>
        <x:v>29.798661358081425</x:v>
      </x:c>
      <x:c r="I16" s="86" t="n">
        <x:f>J15</x:f>
        <x:v>52953125.44768909</x:v>
      </x:c>
      <x:c r="J16" s="86" t="n">
        <x:f>MAX(0,I16-H16*86400)</x:f>
        <x:v>50378521.10635086</x:v>
      </x:c>
      <x:c r="K16" s="86" t="n">
        <x:f>J16/('Flood Cases'!$C$15*1000000)</x:f>
        <x:v>1.0075704221270172</x:v>
      </x:c>
      <x:c r="L16" s="67" t="n">
        <x:f>J16/'Flood Cases'!$C$17</x:f>
        <x:v>0.6717136147513448</x:v>
      </x:c>
    </x:row>
    <x:row r="17">
      <x:c r="A17" s="54" t="n">
        <x:v>12</x:v>
      </x:c>
      <x:c r="B17" s="86" t="n">
        <x:f>'Flood Cases'!$C$18*('Flood Cases'!$C$19^A17)</x:f>
        <x:v>8.37192594958742</x:v>
      </x:c>
      <x:c r="C17" s="86" t="n">
        <x:f>'Flood Cases'!$C$20*('Flood Cases'!$C$19^A17)</x:f>
        <x:v>2.092981487396855</x:v>
      </x:c>
      <x:c r="D17" s="86" t="n">
        <x:f>IF('Breach Growth Arrest'!$B$8=0,0,IF(A17*24&lt;'Breach Growth Arrest'!$B$9,'Breach Growth Arrest'!$B$8,'Breach Growth Arrest'!$B$11))</x:f>
        <x:v>0</x:v>
      </x:c>
      <x:c r="E17" s="86" t="n">
        <x:f>SUM(B17:D17)</x:f>
        <x:v>10.464907436984275</x:v>
      </x:c>
      <x:c r="F17" s="86" t="n">
        <x:f>'Flood Cases'!$C$21*'Flood Cases'!$C$23</x:f>
        <x:v>4.5</x:v>
      </x:c>
      <x:c r="G17" s="86" t="n">
        <x:f>'Receiving Discharge'!$B$13</x:f>
        <x:v>36.551249999999996</x:v>
      </x:c>
      <x:c r="H17" s="86" t="n">
        <x:f>F17+G17-E17</x:f>
        <x:v>30.58634256301572</x:v>
      </x:c>
      <x:c r="I17" s="86" t="n">
        <x:f>J16</x:f>
        <x:v>50378521.10635086</x:v>
      </x:c>
      <x:c r="J17" s="86" t="n">
        <x:f>MAX(0,I17-H17*86400)</x:f>
        <x:v>47735861.10890631</x:v>
      </x:c>
      <x:c r="K17" s="86" t="n">
        <x:f>J17/('Flood Cases'!$C$15*1000000)</x:f>
        <x:v>0.9547172221781262</x:v>
      </x:c>
      <x:c r="L17" s="67" t="n">
        <x:f>J17/'Flood Cases'!$C$17</x:f>
        <x:v>0.6364781481187507</x:v>
      </x:c>
    </x:row>
    <x:row r="18">
      <x:c r="A18" s="54" t="n">
        <x:v>13</x:v>
      </x:c>
      <x:c r="B18" s="86" t="n">
        <x:f>'Flood Cases'!$C$18*('Flood Cases'!$C$19^A18)</x:f>
        <x:v>7.7858911331163</x:v>
      </x:c>
      <x:c r="C18" s="86" t="n">
        <x:f>'Flood Cases'!$C$20*('Flood Cases'!$C$19^A18)</x:f>
        <x:v>1.946472783279075</x:v>
      </x:c>
      <x:c r="D18" s="86" t="n">
        <x:f>IF('Breach Growth Arrest'!$B$8=0,0,IF(A18*24&lt;'Breach Growth Arrest'!$B$9,'Breach Growth Arrest'!$B$8,'Breach Growth Arrest'!$B$11))</x:f>
        <x:v>0</x:v>
      </x:c>
      <x:c r="E18" s="86" t="n">
        <x:f>SUM(B18:D18)</x:f>
        <x:v>9.732363916395375</x:v>
      </x:c>
      <x:c r="F18" s="86" t="n">
        <x:f>'Flood Cases'!$C$21*'Flood Cases'!$C$23</x:f>
        <x:v>4.5</x:v>
      </x:c>
      <x:c r="G18" s="86" t="n">
        <x:f>'Receiving Discharge'!$B$13</x:f>
        <x:v>36.551249999999996</x:v>
      </x:c>
      <x:c r="H18" s="86" t="n">
        <x:f>F18+G18-E18</x:f>
        <x:v>31.31888608360462</x:v>
      </x:c>
      <x:c r="I18" s="86" t="n">
        <x:f>J17</x:f>
        <x:v>47735861.10890631</x:v>
      </x:c>
      <x:c r="J18" s="86" t="n">
        <x:f>MAX(0,I18-H18*86400)</x:f>
        <x:v>45029909.351282865</x:v>
      </x:c>
      <x:c r="K18" s="86" t="n">
        <x:f>J18/('Flood Cases'!$C$15*1000000)</x:f>
        <x:v>0.9005981870256573</x:v>
      </x:c>
      <x:c r="L18" s="67" t="n">
        <x:f>J18/'Flood Cases'!$C$17</x:f>
        <x:v>0.6003987913504382</x:v>
      </x:c>
    </x:row>
    <x:row r="19">
      <x:c r="A19" s="54" t="n">
        <x:v>14</x:v>
      </x:c>
      <x:c r="B19" s="86" t="n">
        <x:f>'Flood Cases'!$C$18*('Flood Cases'!$C$19^A19)</x:f>
        <x:v>7.2408787537981585</x:v>
      </x:c>
      <x:c r="C19" s="86" t="n">
        <x:f>'Flood Cases'!$C$20*('Flood Cases'!$C$19^A19)</x:f>
        <x:v>1.8102196884495396</x:v>
      </x:c>
      <x:c r="D19" s="86" t="n">
        <x:f>IF('Breach Growth Arrest'!$B$8=0,0,IF(A19*24&lt;'Breach Growth Arrest'!$B$9,'Breach Growth Arrest'!$B$8,'Breach Growth Arrest'!$B$11))</x:f>
        <x:v>0</x:v>
      </x:c>
      <x:c r="E19" s="86" t="n">
        <x:f>SUM(B19:D19)</x:f>
        <x:v>9.051098442247698</x:v>
      </x:c>
      <x:c r="F19" s="86" t="n">
        <x:f>'Flood Cases'!$C$21*'Flood Cases'!$C$23</x:f>
        <x:v>4.5</x:v>
      </x:c>
      <x:c r="G19" s="86" t="n">
        <x:f>'Receiving Discharge'!$B$13</x:f>
        <x:v>36.551249999999996</x:v>
      </x:c>
      <x:c r="H19" s="86" t="n">
        <x:f>F19+G19-E19</x:f>
        <x:v>32.0001515577523</x:v>
      </x:c>
      <x:c r="I19" s="86" t="n">
        <x:f>J18</x:f>
        <x:v>45029909.351282865</x:v>
      </x:c>
      <x:c r="J19" s="86" t="n">
        <x:f>MAX(0,I19-H19*86400)</x:f>
        <x:v>42265096.256693065</x:v>
      </x:c>
      <x:c r="K19" s="86" t="n">
        <x:f>J19/('Flood Cases'!$C$15*1000000)</x:f>
        <x:v>0.8453019251338613</x:v>
      </x:c>
      <x:c r="L19" s="67" t="n">
        <x:f>J19/'Flood Cases'!$C$17</x:f>
        <x:v>0.5635346167559075</x:v>
      </x:c>
    </x:row>
    <x:row r="20">
      <x:c r="A20" s="54" t="n">
        <x:v>15</x:v>
      </x:c>
      <x:c r="B20" s="86" t="n">
        <x:f>'Flood Cases'!$C$18*('Flood Cases'!$C$19^A20)</x:f>
        <x:v>6.734017241032289</x:v>
      </x:c>
      <x:c r="C20" s="86" t="n">
        <x:f>'Flood Cases'!$C$20*('Flood Cases'!$C$19^A20)</x:f>
        <x:v>1.6835043102580722</x:v>
      </x:c>
      <x:c r="D20" s="86" t="n">
        <x:f>IF('Breach Growth Arrest'!$B$8=0,0,IF(A20*24&lt;'Breach Growth Arrest'!$B$9,'Breach Growth Arrest'!$B$8,'Breach Growth Arrest'!$B$11))</x:f>
        <x:v>0</x:v>
      </x:c>
      <x:c r="E20" s="86" t="n">
        <x:f>SUM(B20:D20)</x:f>
        <x:v>8.417521551290362</x:v>
      </x:c>
      <x:c r="F20" s="86" t="n">
        <x:f>'Flood Cases'!$C$21*'Flood Cases'!$C$23</x:f>
        <x:v>4.5</x:v>
      </x:c>
      <x:c r="G20" s="86" t="n">
        <x:f>'Receiving Discharge'!$B$13</x:f>
        <x:v>36.551249999999996</x:v>
      </x:c>
      <x:c r="H20" s="86" t="n">
        <x:f>F20+G20-E20</x:f>
        <x:v>32.63372844870963</x:v>
      </x:c>
      <x:c r="I20" s="86" t="n">
        <x:f>J19</x:f>
        <x:v>42265096.256693065</x:v>
      </x:c>
      <x:c r="J20" s="86" t="n">
        <x:f>MAX(0,I20-H20*86400)</x:f>
        <x:v>39445542.118724555</x:v>
      </x:c>
      <x:c r="K20" s="86" t="n">
        <x:f>J20/('Flood Cases'!$C$15*1000000)</x:f>
        <x:v>0.788910842374491</x:v>
      </x:c>
      <x:c r="L20" s="67" t="n">
        <x:f>J20/'Flood Cases'!$C$17</x:f>
        <x:v>0.5259405615829941</x:v>
      </x:c>
    </x:row>
    <x:row r="21">
      <x:c r="A21" s="54" t="n">
        <x:v>16</x:v>
      </x:c>
      <x:c r="B21" s="86" t="n">
        <x:f>'Flood Cases'!$C$18*('Flood Cases'!$C$19^A21)</x:f>
        <x:v>6.262636034160028</x:v>
      </x:c>
      <x:c r="C21" s="86" t="n">
        <x:f>'Flood Cases'!$C$20*('Flood Cases'!$C$19^A21)</x:f>
        <x:v>1.565659008540007</x:v>
      </x:c>
      <x:c r="D21" s="86" t="n">
        <x:f>IF('Breach Growth Arrest'!$B$8=0,0,IF(A21*24&lt;'Breach Growth Arrest'!$B$9,'Breach Growth Arrest'!$B$8,'Breach Growth Arrest'!$B$11))</x:f>
        <x:v>0</x:v>
      </x:c>
      <x:c r="E21" s="86" t="n">
        <x:f>SUM(B21:D21)</x:f>
        <x:v>7.828295042700035</x:v>
      </x:c>
      <x:c r="F21" s="86" t="n">
        <x:f>'Flood Cases'!$C$21*'Flood Cases'!$C$23</x:f>
        <x:v>4.5</x:v>
      </x:c>
      <x:c r="G21" s="86" t="n">
        <x:f>'Receiving Discharge'!$B$13</x:f>
        <x:v>36.551249999999996</x:v>
      </x:c>
      <x:c r="H21" s="86" t="n">
        <x:f>F21+G21-E21</x:f>
        <x:v>33.22295495729996</x:v>
      </x:c>
      <x:c r="I21" s="86" t="n">
        <x:f>J20</x:f>
        <x:v>39445542.118724555</x:v>
      </x:c>
      <x:c r="J21" s="86" t="n">
        <x:f>MAX(0,I21-H21*86400)</x:f>
        <x:v>36575078.81041384</x:v>
      </x:c>
      <x:c r="K21" s="86" t="n">
        <x:f>J21/('Flood Cases'!$C$15*1000000)</x:f>
        <x:v>0.7315015762082767</x:v>
      </x:c>
      <x:c r="L21" s="67" t="n">
        <x:f>J21/'Flood Cases'!$C$17</x:f>
        <x:v>0.4876677174721845</x:v>
      </x:c>
    </x:row>
    <x:row r="22">
      <x:c r="A22" s="54" t="n">
        <x:v>17</x:v>
      </x:c>
      <x:c r="B22" s="86" t="n">
        <x:f>'Flood Cases'!$C$18*('Flood Cases'!$C$19^A22)</x:f>
        <x:v>5.824251511768827</x:v>
      </x:c>
      <x:c r="C22" s="86" t="n">
        <x:f>'Flood Cases'!$C$20*('Flood Cases'!$C$19^A22)</x:f>
        <x:v>1.4560628779422067</x:v>
      </x:c>
      <x:c r="D22" s="86" t="n">
        <x:f>IF('Breach Growth Arrest'!$B$8=0,0,IF(A22*24&lt;'Breach Growth Arrest'!$B$9,'Breach Growth Arrest'!$B$8,'Breach Growth Arrest'!$B$11))</x:f>
        <x:v>0</x:v>
      </x:c>
      <x:c r="E22" s="86" t="n">
        <x:f>SUM(B22:D22)</x:f>
        <x:v>7.280314389711034</x:v>
      </x:c>
      <x:c r="F22" s="86" t="n">
        <x:f>'Flood Cases'!$C$21*'Flood Cases'!$C$23</x:f>
        <x:v>4.5</x:v>
      </x:c>
      <x:c r="G22" s="86" t="n">
        <x:f>'Receiving Discharge'!$B$13</x:f>
        <x:v>36.551249999999996</x:v>
      </x:c>
      <x:c r="H22" s="86" t="n">
        <x:f>F22+G22-E22</x:f>
        <x:v>33.77093561028896</x:v>
      </x:c>
      <x:c r="I22" s="86" t="n">
        <x:f>J21</x:f>
        <x:v>36575078.81041384</x:v>
      </x:c>
      <x:c r="J22" s="86" t="n">
        <x:f>MAX(0,I22-H22*86400)</x:f>
        <x:v>33657269.97368487</x:v>
      </x:c>
      <x:c r="K22" s="86" t="n">
        <x:f>J22/('Flood Cases'!$C$15*1000000)</x:f>
        <x:v>0.6731453994736974</x:v>
      </x:c>
      <x:c r="L22" s="67" t="n">
        <x:f>J22/'Flood Cases'!$C$17</x:f>
        <x:v>0.4487635996491316</x:v>
      </x:c>
    </x:row>
    <x:row r="23">
      <x:c r="A23" s="54" t="n">
        <x:v>18</x:v>
      </x:c>
      <x:c r="B23" s="86" t="n">
        <x:f>'Flood Cases'!$C$18*('Flood Cases'!$C$19^A23)</x:f>
        <x:v>5.41655390594501</x:v>
      </x:c>
      <x:c r="C23" s="86" t="n">
        <x:f>'Flood Cases'!$C$20*('Flood Cases'!$C$19^A23)</x:f>
        <x:v>1.3541384764862525</x:v>
      </x:c>
      <x:c r="D23" s="86" t="n">
        <x:f>IF('Breach Growth Arrest'!$B$8=0,0,IF(A23*24&lt;'Breach Growth Arrest'!$B$9,'Breach Growth Arrest'!$B$8,'Breach Growth Arrest'!$B$11))</x:f>
        <x:v>0</x:v>
      </x:c>
      <x:c r="E23" s="86" t="n">
        <x:f>SUM(B23:D23)</x:f>
        <x:v>6.770692382431262</x:v>
      </x:c>
      <x:c r="F23" s="86" t="n">
        <x:f>'Flood Cases'!$C$21*'Flood Cases'!$C$23</x:f>
        <x:v>4.5</x:v>
      </x:c>
      <x:c r="G23" s="86" t="n">
        <x:f>'Receiving Discharge'!$B$13</x:f>
        <x:v>36.551249999999996</x:v>
      </x:c>
      <x:c r="H23" s="86" t="n">
        <x:f>F23+G23-E23</x:f>
        <x:v>34.28055761756873</x:v>
      </x:c>
      <x:c r="I23" s="86" t="n">
        <x:f>J22</x:f>
        <x:v>33657269.97368487</x:v>
      </x:c>
      <x:c r="J23" s="86" t="n">
        <x:f>MAX(0,I23-H23*86400)</x:f>
        <x:v>30695429.79552693</x:v>
      </x:c>
      <x:c r="K23" s="86" t="n">
        <x:f>J23/('Flood Cases'!$C$15*1000000)</x:f>
        <x:v>0.6139085959105386</x:v>
      </x:c>
      <x:c r="L23" s="67" t="n">
        <x:f>J23/'Flood Cases'!$C$17</x:f>
        <x:v>0.4092723972736924</x:v>
      </x:c>
    </x:row>
    <x:row r="24">
      <x:c r="A24" s="54" t="n">
        <x:v>19</x:v>
      </x:c>
      <x:c r="B24" s="86" t="n">
        <x:f>'Flood Cases'!$C$18*('Flood Cases'!$C$19^A24)</x:f>
        <x:v>5.037395132528859</x:v>
      </x:c>
      <x:c r="C24" s="86" t="n">
        <x:f>'Flood Cases'!$C$20*('Flood Cases'!$C$19^A24)</x:f>
        <x:v>1.2593487831322148</x:v>
      </x:c>
      <x:c r="D24" s="86" t="n">
        <x:f>IF('Breach Growth Arrest'!$B$8=0,0,IF(A24*24&lt;'Breach Growth Arrest'!$B$9,'Breach Growth Arrest'!$B$8,'Breach Growth Arrest'!$B$11))</x:f>
        <x:v>0</x:v>
      </x:c>
      <x:c r="E24" s="86" t="n">
        <x:f>SUM(B24:D24)</x:f>
        <x:v>6.296743915661073</x:v>
      </x:c>
      <x:c r="F24" s="86" t="n">
        <x:f>'Flood Cases'!$C$21*'Flood Cases'!$C$23</x:f>
        <x:v>4.5</x:v>
      </x:c>
      <x:c r="G24" s="86" t="n">
        <x:f>'Receiving Discharge'!$B$13</x:f>
        <x:v>36.551249999999996</x:v>
      </x:c>
      <x:c r="H24" s="86" t="n">
        <x:f>F24+G24-E24</x:f>
        <x:v>34.75450608433892</x:v>
      </x:c>
      <x:c r="I24" s="86" t="n">
        <x:f>J23</x:f>
        <x:v>30695429.79552693</x:v>
      </x:c>
      <x:c r="J24" s="86" t="n">
        <x:f>MAX(0,I24-H24*86400)</x:f>
        <x:v>27692640.469840046</x:v>
      </x:c>
      <x:c r="K24" s="86" t="n">
        <x:f>J24/('Flood Cases'!$C$15*1000000)</x:f>
        <x:v>0.5538528093968009</x:v>
      </x:c>
      <x:c r="L24" s="67" t="n">
        <x:f>J24/'Flood Cases'!$C$17</x:f>
        <x:v>0.36923520626453393</x:v>
      </x:c>
    </x:row>
    <x:row r="25">
      <x:c r="A25" s="54" t="n">
        <x:v>20</x:v>
      </x:c>
      <x:c r="B25" s="86" t="n">
        <x:f>'Flood Cases'!$C$18*('Flood Cases'!$C$19^A25)</x:f>
        <x:v>4.684777473251839</x:v>
      </x:c>
      <x:c r="C25" s="86" t="n">
        <x:f>'Flood Cases'!$C$20*('Flood Cases'!$C$19^A25)</x:f>
        <x:v>1.1711943683129598</x:v>
      </x:c>
      <x:c r="D25" s="86" t="n">
        <x:f>IF('Breach Growth Arrest'!$B$8=0,0,IF(A25*24&lt;'Breach Growth Arrest'!$B$9,'Breach Growth Arrest'!$B$8,'Breach Growth Arrest'!$B$11))</x:f>
        <x:v>0</x:v>
      </x:c>
      <x:c r="E25" s="86" t="n">
        <x:f>SUM(B25:D25)</x:f>
        <x:v>5.8559718415647986</x:v>
      </x:c>
      <x:c r="F25" s="86" t="n">
        <x:f>'Flood Cases'!$C$21*'Flood Cases'!$C$23</x:f>
        <x:v>4.5</x:v>
      </x:c>
      <x:c r="G25" s="86" t="n">
        <x:f>'Receiving Discharge'!$B$13</x:f>
        <x:v>36.551249999999996</x:v>
      </x:c>
      <x:c r="H25" s="86" t="n">
        <x:f>F25+G25-E25</x:f>
        <x:v>35.1952781584352</x:v>
      </x:c>
      <x:c r="I25" s="86" t="n">
        <x:f>J24</x:f>
        <x:v>27692640.469840046</x:v>
      </x:c>
      <x:c r="J25" s="86" t="n">
        <x:f>MAX(0,I25-H25*86400)</x:f>
        <x:v>24651768.436951246</x:v>
      </x:c>
      <x:c r="K25" s="86" t="n">
        <x:f>J25/('Flood Cases'!$C$15*1000000)</x:f>
        <x:v>0.4930353687390249</x:v>
      </x:c>
      <x:c r="L25" s="67" t="n">
        <x:f>J25/'Flood Cases'!$C$17</x:f>
        <x:v>0.32869024582601664</x:v>
      </x:c>
    </x:row>
    <x:row r="26">
      <x:c r="A26" s="54" t="n">
        <x:v>21</x:v>
      </x:c>
      <x:c r="B26" s="86" t="n">
        <x:f>'Flood Cases'!$C$18*('Flood Cases'!$C$19^A26)</x:f>
        <x:v>4.35684305012421</x:v>
      </x:c>
      <x:c r="C26" s="86" t="n">
        <x:f>'Flood Cases'!$C$20*('Flood Cases'!$C$19^A26)</x:f>
        <x:v>1.0892107625310525</x:v>
      </x:c>
      <x:c r="D26" s="86" t="n">
        <x:f>IF('Breach Growth Arrest'!$B$8=0,0,IF(A26*24&lt;'Breach Growth Arrest'!$B$9,'Breach Growth Arrest'!$B$8,'Breach Growth Arrest'!$B$11))</x:f>
        <x:v>0</x:v>
      </x:c>
      <x:c r="E26" s="86" t="n">
        <x:f>SUM(B26:D26)</x:f>
        <x:v>5.446053812655263</x:v>
      </x:c>
      <x:c r="F26" s="86" t="n">
        <x:f>'Flood Cases'!$C$21*'Flood Cases'!$C$23</x:f>
        <x:v>4.5</x:v>
      </x:c>
      <x:c r="G26" s="86" t="n">
        <x:f>'Receiving Discharge'!$B$13</x:f>
        <x:v>36.551249999999996</x:v>
      </x:c>
      <x:c r="H26" s="86" t="n">
        <x:f>F26+G26-E26</x:f>
        <x:v>35.60519618734473</x:v>
      </x:c>
      <x:c r="I26" s="86" t="n">
        <x:f>J25</x:f>
        <x:v>24651768.436951246</x:v>
      </x:c>
      <x:c r="J26" s="86" t="n">
        <x:f>MAX(0,I26-H26*86400)</x:f>
        <x:v>21575479.486364663</x:v>
      </x:c>
      <x:c r="K26" s="86" t="n">
        <x:f>J26/('Flood Cases'!$C$15*1000000)</x:f>
        <x:v>0.43150958972729325</x:v>
      </x:c>
      <x:c r="L26" s="67" t="n">
        <x:f>J26/'Flood Cases'!$C$17</x:f>
        <x:v>0.2876730598181955</x:v>
      </x:c>
    </x:row>
    <x:row r="27">
      <x:c r="A27" s="54" t="n">
        <x:v>22</x:v>
      </x:c>
      <x:c r="B27" s="86" t="n">
        <x:f>'Flood Cases'!$C$18*('Flood Cases'!$C$19^A27)</x:f>
        <x:v>4.051864036615516</x:v>
      </x:c>
      <x:c r="C27" s="86" t="n">
        <x:f>'Flood Cases'!$C$20*('Flood Cases'!$C$19^A27)</x:f>
        <x:v>1.012966009153879</x:v>
      </x:c>
      <x:c r="D27" s="86" t="n">
        <x:f>IF('Breach Growth Arrest'!$B$8=0,0,IF(A27*24&lt;'Breach Growth Arrest'!$B$9,'Breach Growth Arrest'!$B$8,'Breach Growth Arrest'!$B$11))</x:f>
        <x:v>0</x:v>
      </x:c>
      <x:c r="E27" s="86" t="n">
        <x:f>SUM(B27:D27)</x:f>
        <x:v>5.064830045769395</x:v>
      </x:c>
      <x:c r="F27" s="86" t="n">
        <x:f>'Flood Cases'!$C$21*'Flood Cases'!$C$23</x:f>
        <x:v>4.5</x:v>
      </x:c>
      <x:c r="G27" s="86" t="n">
        <x:f>'Receiving Discharge'!$B$13</x:f>
        <x:v>36.551249999999996</x:v>
      </x:c>
      <x:c r="H27" s="86" t="n">
        <x:f>F27+G27-E27</x:f>
        <x:v>35.9864199542306</x:v>
      </x:c>
      <x:c r="I27" s="86" t="n">
        <x:f>J26</x:f>
        <x:v>21575479.486364663</x:v>
      </x:c>
      <x:c r="J27" s="86" t="n">
        <x:f>MAX(0,I27-H27*86400)</x:f>
        <x:v>18466252.80231914</x:v>
      </x:c>
      <x:c r="K27" s="86" t="n">
        <x:f>J27/('Flood Cases'!$C$15*1000000)</x:f>
        <x:v>0.36932505604638277</x:v>
      </x:c>
      <x:c r="L27" s="67" t="n">
        <x:f>J27/'Flood Cases'!$C$17</x:f>
        <x:v>0.24621670403092186</x:v>
      </x:c>
    </x:row>
    <x:row r="28">
      <x:c r="A28" s="54" t="n">
        <x:v>23</x:v>
      </x:c>
      <x:c r="B28" s="86" t="n">
        <x:f>'Flood Cases'!$C$18*('Flood Cases'!$C$19^A28)</x:f>
        <x:v>3.76823355405243</x:v>
      </x:c>
      <x:c r="C28" s="86" t="n">
        <x:f>'Flood Cases'!$C$20*('Flood Cases'!$C$19^A28)</x:f>
        <x:v>0.9420583885131075</x:v>
      </x:c>
      <x:c r="D28" s="86" t="n">
        <x:f>IF('Breach Growth Arrest'!$B$8=0,0,IF(A28*24&lt;'Breach Growth Arrest'!$B$9,'Breach Growth Arrest'!$B$8,'Breach Growth Arrest'!$B$11))</x:f>
        <x:v>0</x:v>
      </x:c>
      <x:c r="E28" s="86" t="n">
        <x:f>SUM(B28:D28)</x:f>
        <x:v>4.710291942565537</x:v>
      </x:c>
      <x:c r="F28" s="86" t="n">
        <x:f>'Flood Cases'!$C$21*'Flood Cases'!$C$23</x:f>
        <x:v>4.5</x:v>
      </x:c>
      <x:c r="G28" s="86" t="n">
        <x:f>'Receiving Discharge'!$B$13</x:f>
        <x:v>36.551249999999996</x:v>
      </x:c>
      <x:c r="H28" s="86" t="n">
        <x:f>F28+G28-E28</x:f>
        <x:v>36.340958057434456</x:v>
      </x:c>
      <x:c r="I28" s="86" t="n">
        <x:f>J27</x:f>
        <x:v>18466252.80231914</x:v>
      </x:c>
      <x:c r="J28" s="86" t="n">
        <x:f>MAX(0,I28-H28*86400)</x:f>
        <x:v>15326394.026156802</x:v>
      </x:c>
      <x:c r="K28" s="86" t="n">
        <x:f>J28/('Flood Cases'!$C$15*1000000)</x:f>
        <x:v>0.306527880523136</x:v>
      </x:c>
      <x:c r="L28" s="67" t="n">
        <x:f>J28/'Flood Cases'!$C$17</x:f>
        <x:v>0.20435192034875735</x:v>
      </x:c>
    </x:row>
    <x:row r="29">
      <x:c r="A29" s="54" t="n">
        <x:v>24</x:v>
      </x:c>
      <x:c r="B29" s="86" t="n">
        <x:f>'Flood Cases'!$C$18*('Flood Cases'!$C$19^A29)</x:f>
        <x:v>3.50445720526876</x:v>
      </x:c>
      <x:c r="C29" s="86" t="n">
        <x:f>'Flood Cases'!$C$20*('Flood Cases'!$C$19^A29)</x:f>
        <x:v>0.87611430131719</x:v>
      </x:c>
      <x:c r="D29" s="86" t="n">
        <x:f>IF('Breach Growth Arrest'!$B$8=0,0,IF(A29*24&lt;'Breach Growth Arrest'!$B$9,'Breach Growth Arrest'!$B$8,'Breach Growth Arrest'!$B$11))</x:f>
        <x:v>0</x:v>
      </x:c>
      <x:c r="E29" s="86" t="n">
        <x:f>SUM(B29:D29)</x:f>
        <x:v>4.38057150658595</x:v>
      </x:c>
      <x:c r="F29" s="86" t="n">
        <x:f>'Flood Cases'!$C$21*'Flood Cases'!$C$23</x:f>
        <x:v>4.5</x:v>
      </x:c>
      <x:c r="G29" s="86" t="n">
        <x:f>'Receiving Discharge'!$B$13</x:f>
        <x:v>36.551249999999996</x:v>
      </x:c>
      <x:c r="H29" s="86" t="n">
        <x:f>F29+G29-E29</x:f>
        <x:v>36.670678493414044</x:v>
      </x:c>
      <x:c r="I29" s="86" t="n">
        <x:f>J28</x:f>
        <x:v>15326394.026156802</x:v>
      </x:c>
      <x:c r="J29" s="86" t="n">
        <x:f>MAX(0,I29-H29*86400)</x:f>
        <x:v>12158047.404325828</x:v>
      </x:c>
      <x:c r="K29" s="86" t="n">
        <x:f>J29/('Flood Cases'!$C$15*1000000)</x:f>
        <x:v>0.24316094808651656</x:v>
      </x:c>
      <x:c r="L29" s="67" t="n">
        <x:f>J29/'Flood Cases'!$C$17</x:f>
        <x:v>0.16210729872434437</x:v>
      </x:c>
    </x:row>
    <x:row r="30">
      <x:c r="A30" s="54" t="n">
        <x:v>25</x:v>
      </x:c>
      <x:c r="B30" s="86" t="n">
        <x:f>'Flood Cases'!$C$18*('Flood Cases'!$C$19^A30)</x:f>
        <x:v>3.259145200899947</x:v>
      </x:c>
      <x:c r="C30" s="86" t="n">
        <x:f>'Flood Cases'!$C$20*('Flood Cases'!$C$19^A30)</x:f>
        <x:v>0.8147863002249868</x:v>
      </x:c>
      <x:c r="D30" s="86" t="n">
        <x:f>IF('Breach Growth Arrest'!$B$8=0,0,IF(A30*24&lt;'Breach Growth Arrest'!$B$9,'Breach Growth Arrest'!$B$8,'Breach Growth Arrest'!$B$11))</x:f>
        <x:v>0</x:v>
      </x:c>
      <x:c r="E30" s="86" t="n">
        <x:f>SUM(B30:D30)</x:f>
        <x:v>4.0739315011249335</x:v>
      </x:c>
      <x:c r="F30" s="86" t="n">
        <x:f>'Flood Cases'!$C$21*'Flood Cases'!$C$23</x:f>
        <x:v>4.5</x:v>
      </x:c>
      <x:c r="G30" s="86" t="n">
        <x:f>'Receiving Discharge'!$B$13</x:f>
        <x:v>36.551249999999996</x:v>
      </x:c>
      <x:c r="H30" s="86" t="n">
        <x:f>F30+G30-E30</x:f>
        <x:v>36.977318498875064</x:v>
      </x:c>
      <x:c r="I30" s="86" t="n">
        <x:f>J29</x:f>
        <x:v>12158047.404325828</x:v>
      </x:c>
      <x:c r="J30" s="86" t="n">
        <x:f>MAX(0,I30-H30*86400)</x:f>
        <x:v>8963207.086023021</x:v>
      </x:c>
      <x:c r="K30" s="86" t="n">
        <x:f>J30/('Flood Cases'!$C$15*1000000)</x:f>
        <x:v>0.17926414172046043</x:v>
      </x:c>
      <x:c r="L30" s="67" t="n">
        <x:f>J30/'Flood Cases'!$C$17</x:f>
        <x:v>0.11950942781364028</x:v>
      </x:c>
    </x:row>
    <x:row r="31">
      <x:c r="A31" s="54" t="n">
        <x:v>26</x:v>
      </x:c>
      <x:c r="B31" s="86" t="n">
        <x:f>'Flood Cases'!$C$18*('Flood Cases'!$C$19^A31)</x:f>
        <x:v>3.031005036836951</x:v>
      </x:c>
      <x:c r="C31" s="86" t="n">
        <x:f>'Flood Cases'!$C$20*('Flood Cases'!$C$19^A31)</x:f>
        <x:v>0.7577512592092378</x:v>
      </x:c>
      <x:c r="D31" s="86" t="n">
        <x:f>IF('Breach Growth Arrest'!$B$8=0,0,IF(A31*24&lt;'Breach Growth Arrest'!$B$9,'Breach Growth Arrest'!$B$8,'Breach Growth Arrest'!$B$11))</x:f>
        <x:v>0</x:v>
      </x:c>
      <x:c r="E31" s="86" t="n">
        <x:f>SUM(B31:D31)</x:f>
        <x:v>3.788756296046189</x:v>
      </x:c>
      <x:c r="F31" s="86" t="n">
        <x:f>'Flood Cases'!$C$21*'Flood Cases'!$C$23</x:f>
        <x:v>4.5</x:v>
      </x:c>
      <x:c r="G31" s="86" t="n">
        <x:f>'Receiving Discharge'!$B$13</x:f>
        <x:v>36.551249999999996</x:v>
      </x:c>
      <x:c r="H31" s="86" t="n">
        <x:f>F31+G31-E31</x:f>
        <x:v>37.26249370395381</x:v>
      </x:c>
      <x:c r="I31" s="86" t="n">
        <x:f>J30</x:f>
        <x:v>8963207.086023021</x:v>
      </x:c>
      <x:c r="J31" s="86" t="n">
        <x:f>MAX(0,I31-H31*86400)</x:f>
        <x:v>5743727.630001413</x:v>
      </x:c>
      <x:c r="K31" s="86" t="n">
        <x:f>J31/('Flood Cases'!$C$15*1000000)</x:f>
        <x:v>0.11487455260002825</x:v>
      </x:c>
      <x:c r="L31" s="67" t="n">
        <x:f>J31/'Flood Cases'!$C$17</x:f>
        <x:v>0.0765830350666855</x:v>
      </x:c>
    </x:row>
    <x:row r="32">
      <x:c r="A32" s="54" t="n">
        <x:v>27</x:v>
      </x:c>
      <x:c r="B32" s="86" t="n">
        <x:f>'Flood Cases'!$C$18*('Flood Cases'!$C$19^A32)</x:f>
        <x:v>2.8188346842583645</x:v>
      </x:c>
      <x:c r="C32" s="86" t="n">
        <x:f>'Flood Cases'!$C$20*('Flood Cases'!$C$19^A32)</x:f>
        <x:v>0.7047086710645911</x:v>
      </x:c>
      <x:c r="D32" s="86" t="n">
        <x:f>IF('Breach Growth Arrest'!$B$8=0,0,IF(A32*24&lt;'Breach Growth Arrest'!$B$9,'Breach Growth Arrest'!$B$8,'Breach Growth Arrest'!$B$11))</x:f>
        <x:v>0</x:v>
      </x:c>
      <x:c r="E32" s="86" t="n">
        <x:f>SUM(B32:D32)</x:f>
        <x:v>3.5235433553229556</x:v>
      </x:c>
      <x:c r="F32" s="86" t="n">
        <x:f>'Flood Cases'!$C$21*'Flood Cases'!$C$23</x:f>
        <x:v>4.5</x:v>
      </x:c>
      <x:c r="G32" s="86" t="n">
        <x:f>'Receiving Discharge'!$B$13</x:f>
        <x:v>36.551249999999996</x:v>
      </x:c>
      <x:c r="H32" s="86" t="n">
        <x:f>F32+G32-E32</x:f>
        <x:v>37.52770664467704</x:v>
      </x:c>
      <x:c r="I32" s="86" t="n">
        <x:f>J31</x:f>
        <x:v>5743727.630001413</x:v>
      </x:c>
      <x:c r="J32" s="86" t="n">
        <x:f>MAX(0,I32-H32*86400)</x:f>
        <x:v>2501333.7759013167</x:v>
      </x:c>
      <x:c r="K32" s="86" t="n">
        <x:f>J32/('Flood Cases'!$C$15*1000000)</x:f>
        <x:v>0.05002667551802634</x:v>
      </x:c>
      <x:c r="L32" s="67" t="n">
        <x:f>J32/'Flood Cases'!$C$17</x:f>
        <x:v>0.03335111701201755</x:v>
      </x:c>
    </x:row>
    <x:row r="33">
      <x:c r="A33" s="54" t="n">
        <x:v>28</x:v>
      </x:c>
      <x:c r="B33" s="86" t="n">
        <x:f>'Flood Cases'!$C$18*('Flood Cases'!$C$19^A33)</x:f>
        <x:v>2.621516256360279</x:v>
      </x:c>
      <x:c r="C33" s="86" t="n">
        <x:f>'Flood Cases'!$C$20*('Flood Cases'!$C$19^A33)</x:f>
        <x:v>0.6553790640900697</x:v>
      </x:c>
      <x:c r="D33" s="86" t="n">
        <x:f>IF('Breach Growth Arrest'!$B$8=0,0,IF(A33*24&lt;'Breach Growth Arrest'!$B$9,'Breach Growth Arrest'!$B$8,'Breach Growth Arrest'!$B$11))</x:f>
        <x:v>0</x:v>
      </x:c>
      <x:c r="E33" s="86" t="n">
        <x:f>SUM(B33:D33)</x:f>
        <x:v>3.2768953204503486</x:v>
      </x:c>
      <x:c r="F33" s="86" t="n">
        <x:f>'Flood Cases'!$C$21*'Flood Cases'!$C$23</x:f>
        <x:v>4.5</x:v>
      </x:c>
      <x:c r="G33" s="86" t="n">
        <x:f>'Receiving Discharge'!$B$13</x:f>
        <x:v>36.551249999999996</x:v>
      </x:c>
      <x:c r="H33" s="86" t="n">
        <x:f>F33+G33-E33</x:f>
        <x:v>37.774354679549646</x:v>
      </x:c>
      <x:c r="I33" s="86" t="n">
        <x:f>J32</x:f>
        <x:v>2501333.7759013167</x:v>
      </x:c>
      <x:c r="J33" s="86" t="n">
        <x:f>MAX(0,I33-H33*86400)</x:f>
        <x:v>0</x:v>
      </x:c>
      <x:c r="K33" s="86" t="n">
        <x:f>J33/('Flood Cases'!$C$15*1000000)</x:f>
        <x:v>0</x:v>
      </x:c>
      <x:c r="L33" s="67" t="n">
        <x:f>J33/'Flood Cases'!$C$17</x:f>
        <x:v>0</x:v>
      </x:c>
    </x:row>
    <x:row r="34">
      <x:c r="A34" s="54" t="n">
        <x:v>29</x:v>
      </x:c>
      <x:c r="B34" s="86" t="n">
        <x:f>'Flood Cases'!$C$18*('Flood Cases'!$C$19^A34)</x:f>
        <x:v>2.4380101184150598</x:v>
      </x:c>
      <x:c r="C34" s="86" t="n">
        <x:f>'Flood Cases'!$C$20*('Flood Cases'!$C$19^A34)</x:f>
        <x:v>0.6095025296037649</x:v>
      </x:c>
      <x:c r="D34" s="86" t="n">
        <x:f>IF('Breach Growth Arrest'!$B$8=0,0,IF(A34*24&lt;'Breach Growth Arrest'!$B$9,'Breach Growth Arrest'!$B$8,'Breach Growth Arrest'!$B$11))</x:f>
        <x:v>0</x:v>
      </x:c>
      <x:c r="E34" s="86" t="n">
        <x:f>SUM(B34:D34)</x:f>
        <x:v>3.0475126480188246</x:v>
      </x:c>
      <x:c r="F34" s="86" t="n">
        <x:f>'Flood Cases'!$C$21*'Flood Cases'!$C$23</x:f>
        <x:v>4.5</x:v>
      </x:c>
      <x:c r="G34" s="86" t="n">
        <x:f>'Receiving Discharge'!$B$13</x:f>
        <x:v>36.551249999999996</x:v>
      </x:c>
      <x:c r="H34" s="86" t="n">
        <x:f>F34+G34-E34</x:f>
        <x:v>38.00373735198117</x:v>
      </x:c>
      <x:c r="I34" s="86" t="n">
        <x:f>J33</x:f>
        <x:v>0</x:v>
      </x:c>
      <x:c r="J34" s="86" t="n">
        <x:f>MAX(0,I34-H34*86400)</x:f>
        <x:v>0</x:v>
      </x:c>
      <x:c r="K34" s="86" t="n">
        <x:f>J34/('Flood Cases'!$C$15*1000000)</x:f>
        <x:v>0</x:v>
      </x:c>
      <x:c r="L34" s="67" t="n">
        <x:f>J34/'Flood Cases'!$C$17</x:f>
        <x:v>0</x:v>
      </x:c>
    </x:row>
    <x:row r="35">
      <x:c r="A35" s="54" t="n">
        <x:v>30</x:v>
      </x:c>
      <x:c r="B35" s="86" t="n">
        <x:f>'Flood Cases'!$C$18*('Flood Cases'!$C$19^A35)</x:f>
        <x:v>2.267349410126006</x:v>
      </x:c>
      <x:c r="C35" s="86" t="n">
        <x:f>'Flood Cases'!$C$20*('Flood Cases'!$C$19^A35)</x:f>
        <x:v>0.5668373525315015</x:v>
      </x:c>
      <x:c r="D35" s="86" t="n">
        <x:f>IF('Breach Growth Arrest'!$B$8=0,0,IF(A35*24&lt;'Breach Growth Arrest'!$B$9,'Breach Growth Arrest'!$B$8,'Breach Growth Arrest'!$B$11))</x:f>
        <x:v>0</x:v>
      </x:c>
      <x:c r="E35" s="86" t="n">
        <x:f>SUM(B35:D35)</x:f>
        <x:v>2.8341867626575072</x:v>
      </x:c>
      <x:c r="F35" s="86" t="n">
        <x:f>'Flood Cases'!$C$21*'Flood Cases'!$C$23</x:f>
        <x:v>4.5</x:v>
      </x:c>
      <x:c r="G35" s="86" t="n">
        <x:f>'Receiving Discharge'!$B$13</x:f>
        <x:v>36.551249999999996</x:v>
      </x:c>
      <x:c r="H35" s="86" t="n">
        <x:f>F35+G35-E35</x:f>
        <x:v>38.21706323734249</x:v>
      </x:c>
      <x:c r="I35" s="86" t="n">
        <x:f>J34</x:f>
        <x:v>0</x:v>
      </x:c>
      <x:c r="J35" s="86" t="n">
        <x:f>MAX(0,I35-H35*86400)</x:f>
        <x:v>0</x:v>
      </x:c>
      <x:c r="K35" s="86" t="n">
        <x:f>J35/('Flood Cases'!$C$15*1000000)</x:f>
        <x:v>0</x:v>
      </x:c>
      <x:c r="L35" s="67" t="n">
        <x:f>J35/'Flood Cases'!$C$17</x:f>
        <x:v>0</x:v>
      </x:c>
    </x:row>
    <x:row r="36">
      <x:c r="A36" s="54" t="n">
        <x:v>31</x:v>
      </x:c>
      <x:c r="B36" s="86" t="n">
        <x:f>'Flood Cases'!$C$18*('Flood Cases'!$C$19^A36)</x:f>
        <x:v>2.1086349514171854</x:v>
      </x:c>
      <x:c r="C36" s="86" t="n">
        <x:f>'Flood Cases'!$C$20*('Flood Cases'!$C$19^A36)</x:f>
        <x:v>0.5271587378542963</x:v>
      </x:c>
      <x:c r="D36" s="86" t="n">
        <x:f>IF('Breach Growth Arrest'!$B$8=0,0,IF(A36*24&lt;'Breach Growth Arrest'!$B$9,'Breach Growth Arrest'!$B$8,'Breach Growth Arrest'!$B$11))</x:f>
        <x:v>0</x:v>
      </x:c>
      <x:c r="E36" s="86" t="n">
        <x:f>SUM(B36:D36)</x:f>
        <x:v>2.6357936892714817</x:v>
      </x:c>
      <x:c r="F36" s="86" t="n">
        <x:f>'Flood Cases'!$C$21*'Flood Cases'!$C$23</x:f>
        <x:v>4.5</x:v>
      </x:c>
      <x:c r="G36" s="86" t="n">
        <x:f>'Receiving Discharge'!$B$13</x:f>
        <x:v>36.551249999999996</x:v>
      </x:c>
      <x:c r="H36" s="86" t="n">
        <x:f>F36+G36-E36</x:f>
        <x:v>38.415456310728516</x:v>
      </x:c>
      <x:c r="I36" s="86" t="n">
        <x:f>J35</x:f>
        <x:v>0</x:v>
      </x:c>
      <x:c r="J36" s="86" t="n">
        <x:f>MAX(0,I36-H36*86400)</x:f>
        <x:v>0</x:v>
      </x:c>
      <x:c r="K36" s="86" t="n">
        <x:f>J36/('Flood Cases'!$C$15*1000000)</x:f>
        <x:v>0</x:v>
      </x:c>
      <x:c r="L36" s="67" t="n">
        <x:f>J36/'Flood Cases'!$C$17</x:f>
        <x:v>0</x:v>
      </x:c>
    </x:row>
    <x:row r="37">
      <x:c r="A37" s="54" t="n">
        <x:v>32</x:v>
      </x:c>
      <x:c r="B37" s="86" t="n">
        <x:f>'Flood Cases'!$C$18*('Flood Cases'!$C$19^A37)</x:f>
        <x:v>1.9610305048179824</x:v>
      </x:c>
      <x:c r="C37" s="86" t="n">
        <x:f>'Flood Cases'!$C$20*('Flood Cases'!$C$19^A37)</x:f>
        <x:v>0.4902576262044956</x:v>
      </x:c>
      <x:c r="D37" s="86" t="n">
        <x:f>IF('Breach Growth Arrest'!$B$8=0,0,IF(A37*24&lt;'Breach Growth Arrest'!$B$9,'Breach Growth Arrest'!$B$8,'Breach Growth Arrest'!$B$11))</x:f>
        <x:v>0</x:v>
      </x:c>
      <x:c r="E37" s="86" t="n">
        <x:f>SUM(B37:D37)</x:f>
        <x:v>2.451288131022478</x:v>
      </x:c>
      <x:c r="F37" s="86" t="n">
        <x:f>'Flood Cases'!$C$21*'Flood Cases'!$C$23</x:f>
        <x:v>4.5</x:v>
      </x:c>
      <x:c r="G37" s="86" t="n">
        <x:f>'Receiving Discharge'!$B$13</x:f>
        <x:v>36.551249999999996</x:v>
      </x:c>
      <x:c r="H37" s="86" t="n">
        <x:f>F37+G37-E37</x:f>
        <x:v>38.599961868977516</x:v>
      </x:c>
      <x:c r="I37" s="86" t="n">
        <x:f>J36</x:f>
        <x:v>0</x:v>
      </x:c>
      <x:c r="J37" s="86" t="n">
        <x:f>MAX(0,I37-H37*86400)</x:f>
        <x:v>0</x:v>
      </x:c>
      <x:c r="K37" s="86" t="n">
        <x:f>J37/('Flood Cases'!$C$15*1000000)</x:f>
        <x:v>0</x:v>
      </x:c>
      <x:c r="L37" s="67" t="n">
        <x:f>J37/'Flood Cases'!$C$17</x:f>
        <x:v>0</x:v>
      </x:c>
    </x:row>
    <x:row r="38">
      <x:c r="A38" s="54" t="n">
        <x:v>33</x:v>
      </x:c>
      <x:c r="B38" s="86" t="n">
        <x:f>'Flood Cases'!$C$18*('Flood Cases'!$C$19^A38)</x:f>
        <x:v>1.8237583694807238</x:v>
      </x:c>
      <x:c r="C38" s="86" t="n">
        <x:f>'Flood Cases'!$C$20*('Flood Cases'!$C$19^A38)</x:f>
        <x:v>0.45593959237018095</x:v>
      </x:c>
      <x:c r="D38" s="86" t="n">
        <x:f>IF('Breach Growth Arrest'!$B$8=0,0,IF(A38*24&lt;'Breach Growth Arrest'!$B$9,'Breach Growth Arrest'!$B$8,'Breach Growth Arrest'!$B$11))</x:f>
        <x:v>0</x:v>
      </x:c>
      <x:c r="E38" s="86" t="n">
        <x:f>SUM(B38:D38)</x:f>
        <x:v>2.279697961850905</x:v>
      </x:c>
      <x:c r="F38" s="86" t="n">
        <x:f>'Flood Cases'!$C$21*'Flood Cases'!$C$23</x:f>
        <x:v>4.5</x:v>
      </x:c>
      <x:c r="G38" s="86" t="n">
        <x:f>'Receiving Discharge'!$B$13</x:f>
        <x:v>36.551249999999996</x:v>
      </x:c>
      <x:c r="H38" s="86" t="n">
        <x:f>F38+G38-E38</x:f>
        <x:v>38.77155203814909</x:v>
      </x:c>
      <x:c r="I38" s="86" t="n">
        <x:f>J37</x:f>
        <x:v>0</x:v>
      </x:c>
      <x:c r="J38" s="86" t="n">
        <x:f>MAX(0,I38-H38*86400)</x:f>
        <x:v>0</x:v>
      </x:c>
      <x:c r="K38" s="86" t="n">
        <x:f>J38/('Flood Cases'!$C$15*1000000)</x:f>
        <x:v>0</x:v>
      </x:c>
      <x:c r="L38" s="67" t="n">
        <x:f>J38/'Flood Cases'!$C$17</x:f>
        <x:v>0</x:v>
      </x:c>
    </x:row>
    <x:row r="39">
      <x:c r="A39" s="54" t="n">
        <x:v>34</x:v>
      </x:c>
      <x:c r="B39" s="86" t="n">
        <x:f>'Flood Cases'!$C$18*('Flood Cases'!$C$19^A39)</x:f>
        <x:v>1.6960952836170735</x:v>
      </x:c>
      <x:c r="C39" s="86" t="n">
        <x:f>'Flood Cases'!$C$20*('Flood Cases'!$C$19^A39)</x:f>
        <x:v>0.4240238209042684</x:v>
      </x:c>
      <x:c r="D39" s="86" t="n">
        <x:f>IF('Breach Growth Arrest'!$B$8=0,0,IF(A39*24&lt;'Breach Growth Arrest'!$B$9,'Breach Growth Arrest'!$B$8,'Breach Growth Arrest'!$B$11))</x:f>
        <x:v>0</x:v>
      </x:c>
      <x:c r="E39" s="86" t="n">
        <x:f>SUM(B39:D39)</x:f>
        <x:v>2.1201191045213417</x:v>
      </x:c>
      <x:c r="F39" s="86" t="n">
        <x:f>'Flood Cases'!$C$21*'Flood Cases'!$C$23</x:f>
        <x:v>4.5</x:v>
      </x:c>
      <x:c r="G39" s="86" t="n">
        <x:f>'Receiving Discharge'!$B$13</x:f>
        <x:v>36.551249999999996</x:v>
      </x:c>
      <x:c r="H39" s="86" t="n">
        <x:f>F39+G39-E39</x:f>
        <x:v>38.93113089547865</x:v>
      </x:c>
      <x:c r="I39" s="86" t="n">
        <x:f>J38</x:f>
        <x:v>0</x:v>
      </x:c>
      <x:c r="J39" s="86" t="n">
        <x:f>MAX(0,I39-H39*86400)</x:f>
        <x:v>0</x:v>
      </x:c>
      <x:c r="K39" s="86" t="n">
        <x:f>J39/('Flood Cases'!$C$15*1000000)</x:f>
        <x:v>0</x:v>
      </x:c>
      <x:c r="L39" s="67" t="n">
        <x:f>J39/'Flood Cases'!$C$17</x:f>
        <x:v>0</x:v>
      </x:c>
    </x:row>
    <x:row r="40">
      <x:c r="A40" s="54" t="n">
        <x:v>35</x:v>
      </x:c>
      <x:c r="B40" s="86" t="n">
        <x:f>'Flood Cases'!$C$18*('Flood Cases'!$C$19^A40)</x:f>
        <x:v>1.5773686137638783</x:v>
      </x:c>
      <x:c r="C40" s="86" t="n">
        <x:f>'Flood Cases'!$C$20*('Flood Cases'!$C$19^A40)</x:f>
        <x:v>0.39434215344096957</x:v>
      </x:c>
      <x:c r="D40" s="86" t="n">
        <x:f>IF('Breach Growth Arrest'!$B$8=0,0,IF(A40*24&lt;'Breach Growth Arrest'!$B$9,'Breach Growth Arrest'!$B$8,'Breach Growth Arrest'!$B$11))</x:f>
        <x:v>0</x:v>
      </x:c>
      <x:c r="E40" s="86" t="n">
        <x:f>SUM(B40:D40)</x:f>
        <x:v>1.971710767204848</x:v>
      </x:c>
      <x:c r="F40" s="86" t="n">
        <x:f>'Flood Cases'!$C$21*'Flood Cases'!$C$23</x:f>
        <x:v>4.5</x:v>
      </x:c>
      <x:c r="G40" s="86" t="n">
        <x:f>'Receiving Discharge'!$B$13</x:f>
        <x:v>36.551249999999996</x:v>
      </x:c>
      <x:c r="H40" s="86" t="n">
        <x:f>F40+G40-E40</x:f>
        <x:v>39.07953923279515</x:v>
      </x:c>
      <x:c r="I40" s="86" t="n">
        <x:f>J39</x:f>
        <x:v>0</x:v>
      </x:c>
      <x:c r="J40" s="86" t="n">
        <x:f>MAX(0,I40-H40*86400)</x:f>
        <x:v>0</x:v>
      </x:c>
      <x:c r="K40" s="86" t="n">
        <x:f>J40/('Flood Cases'!$C$15*1000000)</x:f>
        <x:v>0</x:v>
      </x:c>
      <x:c r="L40" s="67" t="n">
        <x:f>J40/'Flood Cases'!$C$17</x:f>
        <x:v>0</x:v>
      </x:c>
    </x:row>
    <x:row r="41">
      <x:c r="A41" s="54" t="n">
        <x:v>36</x:v>
      </x:c>
      <x:c r="B41" s="86" t="n">
        <x:f>'Flood Cases'!$C$18*('Flood Cases'!$C$19^A41)</x:f>
        <x:v>1.4669528108004068</x:v>
      </x:c>
      <x:c r="C41" s="86" t="n">
        <x:f>'Flood Cases'!$C$20*('Flood Cases'!$C$19^A41)</x:f>
        <x:v>0.3667382027001017</x:v>
      </x:c>
      <x:c r="D41" s="86" t="n">
        <x:f>IF('Breach Growth Arrest'!$B$8=0,0,IF(A41*24&lt;'Breach Growth Arrest'!$B$9,'Breach Growth Arrest'!$B$8,'Breach Growth Arrest'!$B$11))</x:f>
        <x:v>0</x:v>
      </x:c>
      <x:c r="E41" s="86" t="n">
        <x:f>SUM(B41:D41)</x:f>
        <x:v>1.8336910135005087</x:v>
      </x:c>
      <x:c r="F41" s="86" t="n">
        <x:f>'Flood Cases'!$C$21*'Flood Cases'!$C$23</x:f>
        <x:v>4.5</x:v>
      </x:c>
      <x:c r="G41" s="86" t="n">
        <x:f>'Receiving Discharge'!$B$13</x:f>
        <x:v>36.551249999999996</x:v>
      </x:c>
      <x:c r="H41" s="86" t="n">
        <x:f>F41+G41-E41</x:f>
        <x:v>39.21755898649949</x:v>
      </x:c>
      <x:c r="I41" s="86" t="n">
        <x:f>J40</x:f>
        <x:v>0</x:v>
      </x:c>
      <x:c r="J41" s="86" t="n">
        <x:f>MAX(0,I41-H41*86400)</x:f>
        <x:v>0</x:v>
      </x:c>
      <x:c r="K41" s="86" t="n">
        <x:f>J41/('Flood Cases'!$C$15*1000000)</x:f>
        <x:v>0</x:v>
      </x:c>
      <x:c r="L41" s="67" t="n">
        <x:f>J41/'Flood Cases'!$C$17</x:f>
        <x:v>0</x:v>
      </x:c>
    </x:row>
    <x:row r="42">
      <x:c r="A42" s="54" t="n">
        <x:v>37</x:v>
      </x:c>
      <x:c r="B42" s="86" t="n">
        <x:f>'Flood Cases'!$C$18*('Flood Cases'!$C$19^A42)</x:f>
        <x:v>1.3642661140443786</x:v>
      </x:c>
      <x:c r="C42" s="86" t="n">
        <x:f>'Flood Cases'!$C$20*('Flood Cases'!$C$19^A42)</x:f>
        <x:v>0.34106652851109465</x:v>
      </x:c>
      <x:c r="D42" s="86" t="n">
        <x:f>IF('Breach Growth Arrest'!$B$8=0,0,IF(A42*24&lt;'Breach Growth Arrest'!$B$9,'Breach Growth Arrest'!$B$8,'Breach Growth Arrest'!$B$11))</x:f>
        <x:v>0</x:v>
      </x:c>
      <x:c r="E42" s="86" t="n">
        <x:f>SUM(B42:D42)</x:f>
        <x:v>1.7053326425554731</x:v>
      </x:c>
      <x:c r="F42" s="86" t="n">
        <x:f>'Flood Cases'!$C$21*'Flood Cases'!$C$23</x:f>
        <x:v>4.5</x:v>
      </x:c>
      <x:c r="G42" s="86" t="n">
        <x:f>'Receiving Discharge'!$B$13</x:f>
        <x:v>36.551249999999996</x:v>
      </x:c>
      <x:c r="H42" s="86" t="n">
        <x:f>F42+G42-E42</x:f>
        <x:v>39.34591735744452</x:v>
      </x:c>
      <x:c r="I42" s="86" t="n">
        <x:f>J41</x:f>
        <x:v>0</x:v>
      </x:c>
      <x:c r="J42" s="86" t="n">
        <x:f>MAX(0,I42-H42*86400)</x:f>
        <x:v>0</x:v>
      </x:c>
      <x:c r="K42" s="86" t="n">
        <x:f>J42/('Flood Cases'!$C$15*1000000)</x:f>
        <x:v>0</x:v>
      </x:c>
      <x:c r="L42" s="67" t="n">
        <x:f>J42/'Flood Cases'!$C$17</x:f>
        <x:v>0</x:v>
      </x:c>
    </x:row>
    <x:row r="43">
      <x:c r="A43" s="54" t="n">
        <x:v>38</x:v>
      </x:c>
      <x:c r="B43" s="86" t="n">
        <x:f>'Flood Cases'!$C$18*('Flood Cases'!$C$19^A43)</x:f>
        <x:v>1.2687674860612719</x:v>
      </x:c>
      <x:c r="C43" s="86" t="n">
        <x:f>'Flood Cases'!$C$20*('Flood Cases'!$C$19^A43)</x:f>
        <x:v>0.31719187151531797</x:v>
      </x:c>
      <x:c r="D43" s="86" t="n">
        <x:f>IF('Breach Growth Arrest'!$B$8=0,0,IF(A43*24&lt;'Breach Growth Arrest'!$B$9,'Breach Growth Arrest'!$B$8,'Breach Growth Arrest'!$B$11))</x:f>
        <x:v>0</x:v>
      </x:c>
      <x:c r="E43" s="86" t="n">
        <x:f>SUM(B43:D43)</x:f>
        <x:v>1.5859593575765898</x:v>
      </x:c>
      <x:c r="F43" s="86" t="n">
        <x:f>'Flood Cases'!$C$21*'Flood Cases'!$C$23</x:f>
        <x:v>4.5</x:v>
      </x:c>
      <x:c r="G43" s="86" t="n">
        <x:f>'Receiving Discharge'!$B$13</x:f>
        <x:v>36.551249999999996</x:v>
      </x:c>
      <x:c r="H43" s="86" t="n">
        <x:f>F43+G43-E43</x:f>
        <x:v>39.465290642423405</x:v>
      </x:c>
      <x:c r="I43" s="86" t="n">
        <x:f>J42</x:f>
        <x:v>0</x:v>
      </x:c>
      <x:c r="J43" s="86" t="n">
        <x:f>MAX(0,I43-H43*86400)</x:f>
        <x:v>0</x:v>
      </x:c>
      <x:c r="K43" s="86" t="n">
        <x:f>J43/('Flood Cases'!$C$15*1000000)</x:f>
        <x:v>0</x:v>
      </x:c>
      <x:c r="L43" s="67" t="n">
        <x:f>J43/'Flood Cases'!$C$17</x:f>
        <x:v>0</x:v>
      </x:c>
    </x:row>
    <x:row r="44">
      <x:c r="A44" s="54" t="n">
        <x:v>39</x:v>
      </x:c>
      <x:c r="B44" s="86" t="n">
        <x:f>'Flood Cases'!$C$18*('Flood Cases'!$C$19^A44)</x:f>
        <x:v>1.179953762036983</x:v>
      </x:c>
      <x:c r="C44" s="86" t="n">
        <x:f>'Flood Cases'!$C$20*('Flood Cases'!$C$19^A44)</x:f>
        <x:v>0.2949884405092458</x:v>
      </x:c>
      <x:c r="D44" s="86" t="n">
        <x:f>IF('Breach Growth Arrest'!$B$8=0,0,IF(A44*24&lt;'Breach Growth Arrest'!$B$9,'Breach Growth Arrest'!$B$8,'Breach Growth Arrest'!$B$11))</x:f>
        <x:v>0</x:v>
      </x:c>
      <x:c r="E44" s="86" t="n">
        <x:f>SUM(B44:D44)</x:f>
        <x:v>1.4749422025462289</x:v>
      </x:c>
      <x:c r="F44" s="86" t="n">
        <x:f>'Flood Cases'!$C$21*'Flood Cases'!$C$23</x:f>
        <x:v>4.5</x:v>
      </x:c>
      <x:c r="G44" s="86" t="n">
        <x:f>'Receiving Discharge'!$B$13</x:f>
        <x:v>36.551249999999996</x:v>
      </x:c>
      <x:c r="H44" s="86" t="n">
        <x:f>F44+G44-E44</x:f>
        <x:v>39.576307797453765</x:v>
      </x:c>
      <x:c r="I44" s="86" t="n">
        <x:f>J43</x:f>
        <x:v>0</x:v>
      </x:c>
      <x:c r="J44" s="86" t="n">
        <x:f>MAX(0,I44-H44*86400)</x:f>
        <x:v>0</x:v>
      </x:c>
      <x:c r="K44" s="86" t="n">
        <x:f>J44/('Flood Cases'!$C$15*1000000)</x:f>
        <x:v>0</x:v>
      </x:c>
      <x:c r="L44" s="67" t="n">
        <x:f>J44/'Flood Cases'!$C$17</x:f>
        <x:v>0</x:v>
      </x:c>
    </x:row>
    <x:row r="45">
      <x:c r="A45" s="54" t="n">
        <x:v>40</x:v>
      </x:c>
      <x:c r="B45" s="86" t="n">
        <x:f>'Flood Cases'!$C$18*('Flood Cases'!$C$19^A45)</x:f>
        <x:v>1.0973569986943943</x:v>
      </x:c>
      <x:c r="C45" s="86" t="n">
        <x:f>'Flood Cases'!$C$20*('Flood Cases'!$C$19^A45)</x:f>
        <x:v>0.2743392496735986</x:v>
      </x:c>
      <x:c r="D45" s="86" t="n">
        <x:f>IF('Breach Growth Arrest'!$B$8=0,0,IF(A45*24&lt;'Breach Growth Arrest'!$B$9,'Breach Growth Arrest'!$B$8,'Breach Growth Arrest'!$B$11))</x:f>
        <x:v>0</x:v>
      </x:c>
      <x:c r="E45" s="86" t="n">
        <x:f>SUM(B45:D45)</x:f>
        <x:v>1.3716962483679929</x:v>
      </x:c>
      <x:c r="F45" s="86" t="n">
        <x:f>'Flood Cases'!$C$21*'Flood Cases'!$C$23</x:f>
        <x:v>4.5</x:v>
      </x:c>
      <x:c r="G45" s="86" t="n">
        <x:f>'Receiving Discharge'!$B$13</x:f>
        <x:v>36.551249999999996</x:v>
      </x:c>
      <x:c r="H45" s="86" t="n">
        <x:f>F45+G45-E45</x:f>
        <x:v>39.679553751632</x:v>
      </x:c>
      <x:c r="I45" s="86" t="n">
        <x:f>J44</x:f>
        <x:v>0</x:v>
      </x:c>
      <x:c r="J45" s="86" t="n">
        <x:f>MAX(0,I45-H45*86400)</x:f>
        <x:v>0</x:v>
      </x:c>
      <x:c r="K45" s="86" t="n">
        <x:f>J45/('Flood Cases'!$C$15*1000000)</x:f>
        <x:v>0</x:v>
      </x:c>
      <x:c r="L45" s="67" t="n">
        <x:f>J45/'Flood Cases'!$C$17</x:f>
        <x:v>0</x:v>
      </x:c>
    </x:row>
    <x:row r="46">
      <x:c r="A46" s="54" t="n">
        <x:v>41</x:v>
      </x:c>
      <x:c r="B46" s="86" t="n">
        <x:f>'Flood Cases'!$C$18*('Flood Cases'!$C$19^A46)</x:f>
        <x:v>1.0205420087857866</x:v>
      </x:c>
      <x:c r="C46" s="86" t="n">
        <x:f>'Flood Cases'!$C$20*('Flood Cases'!$C$19^A46)</x:f>
        <x:v>0.25513550219644665</x:v>
      </x:c>
      <x:c r="D46" s="86" t="n">
        <x:f>IF('Breach Growth Arrest'!$B$8=0,0,IF(A46*24&lt;'Breach Growth Arrest'!$B$9,'Breach Growth Arrest'!$B$8,'Breach Growth Arrest'!$B$11))</x:f>
        <x:v>0</x:v>
      </x:c>
      <x:c r="E46" s="86" t="n">
        <x:f>SUM(B46:D46)</x:f>
        <x:v>1.2756775109822334</x:v>
      </x:c>
      <x:c r="F46" s="86" t="n">
        <x:f>'Flood Cases'!$C$21*'Flood Cases'!$C$23</x:f>
        <x:v>4.5</x:v>
      </x:c>
      <x:c r="G46" s="86" t="n">
        <x:f>'Receiving Discharge'!$B$13</x:f>
        <x:v>36.551249999999996</x:v>
      </x:c>
      <x:c r="H46" s="86" t="n">
        <x:f>F46+G46-E46</x:f>
        <x:v>39.77557248901776</x:v>
      </x:c>
      <x:c r="I46" s="86" t="n">
        <x:f>J45</x:f>
        <x:v>0</x:v>
      </x:c>
      <x:c r="J46" s="86" t="n">
        <x:f>MAX(0,I46-H46*86400)</x:f>
        <x:v>0</x:v>
      </x:c>
      <x:c r="K46" s="86" t="n">
        <x:f>J46/('Flood Cases'!$C$15*1000000)</x:f>
        <x:v>0</x:v>
      </x:c>
      <x:c r="L46" s="67" t="n">
        <x:f>J46/'Flood Cases'!$C$17</x:f>
        <x:v>0</x:v>
      </x:c>
    </x:row>
    <x:row r="47">
      <x:c r="A47" s="54" t="n">
        <x:v>42</x:v>
      </x:c>
      <x:c r="B47" s="86" t="n">
        <x:f>'Flood Cases'!$C$18*('Flood Cases'!$C$19^A47)</x:f>
        <x:v>0.9491040681707817</x:v>
      </x:c>
      <x:c r="C47" s="86" t="n">
        <x:f>'Flood Cases'!$C$20*('Flood Cases'!$C$19^A47)</x:f>
        <x:v>0.23727601704269544</x:v>
      </x:c>
      <x:c r="D47" s="86" t="n">
        <x:f>IF('Breach Growth Arrest'!$B$8=0,0,IF(A47*24&lt;'Breach Growth Arrest'!$B$9,'Breach Growth Arrest'!$B$8,'Breach Growth Arrest'!$B$11))</x:f>
        <x:v>0</x:v>
      </x:c>
      <x:c r="E47" s="86" t="n">
        <x:f>SUM(B47:D47)</x:f>
        <x:v>1.1863800852134772</x:v>
      </x:c>
      <x:c r="F47" s="86" t="n">
        <x:f>'Flood Cases'!$C$21*'Flood Cases'!$C$23</x:f>
        <x:v>4.5</x:v>
      </x:c>
      <x:c r="G47" s="86" t="n">
        <x:f>'Receiving Discharge'!$B$13</x:f>
        <x:v>36.551249999999996</x:v>
      </x:c>
      <x:c r="H47" s="86" t="n">
        <x:f>F47+G47-E47</x:f>
        <x:v>39.86486991478652</x:v>
      </x:c>
      <x:c r="I47" s="86" t="n">
        <x:f>J46</x:f>
        <x:v>0</x:v>
      </x:c>
      <x:c r="J47" s="86" t="n">
        <x:f>MAX(0,I47-H47*86400)</x:f>
        <x:v>0</x:v>
      </x:c>
      <x:c r="K47" s="86" t="n">
        <x:f>J47/('Flood Cases'!$C$15*1000000)</x:f>
        <x:v>0</x:v>
      </x:c>
      <x:c r="L47" s="67" t="n">
        <x:f>J47/'Flood Cases'!$C$17</x:f>
        <x:v>0</x:v>
      </x:c>
    </x:row>
    <x:row r="48">
      <x:c r="A48" s="54" t="n">
        <x:v>43</x:v>
      </x:c>
      <x:c r="B48" s="86" t="n">
        <x:f>'Flood Cases'!$C$18*('Flood Cases'!$C$19^A48)</x:f>
        <x:v>0.8826667833988271</x:v>
      </x:c>
      <x:c r="C48" s="86" t="n">
        <x:f>'Flood Cases'!$C$20*('Flood Cases'!$C$19^A48)</x:f>
        <x:v>0.22066669584970677</x:v>
      </x:c>
      <x:c r="D48" s="86" t="n">
        <x:f>IF('Breach Growth Arrest'!$B$8=0,0,IF(A48*24&lt;'Breach Growth Arrest'!$B$9,'Breach Growth Arrest'!$B$8,'Breach Growth Arrest'!$B$11))</x:f>
        <x:v>0</x:v>
      </x:c>
      <x:c r="E48" s="86" t="n">
        <x:f>SUM(B48:D48)</x:f>
        <x:v>1.1033334792485339</x:v>
      </x:c>
      <x:c r="F48" s="86" t="n">
        <x:f>'Flood Cases'!$C$21*'Flood Cases'!$C$23</x:f>
        <x:v>4.5</x:v>
      </x:c>
      <x:c r="G48" s="86" t="n">
        <x:f>'Receiving Discharge'!$B$13</x:f>
        <x:v>36.551249999999996</x:v>
      </x:c>
      <x:c r="H48" s="86" t="n">
        <x:f>F48+G48-E48</x:f>
        <x:v>39.94791652075146</x:v>
      </x:c>
      <x:c r="I48" s="86" t="n">
        <x:f>J47</x:f>
        <x:v>0</x:v>
      </x:c>
      <x:c r="J48" s="86" t="n">
        <x:f>MAX(0,I48-H48*86400)</x:f>
        <x:v>0</x:v>
      </x:c>
      <x:c r="K48" s="86" t="n">
        <x:f>J48/('Flood Cases'!$C$15*1000000)</x:f>
        <x:v>0</x:v>
      </x:c>
      <x:c r="L48" s="67" t="n">
        <x:f>J48/'Flood Cases'!$C$17</x:f>
        <x:v>0</x:v>
      </x:c>
    </x:row>
    <x:row r="49">
      <x:c r="A49" s="54" t="n">
        <x:v>44</x:v>
      </x:c>
      <x:c r="B49" s="86" t="n">
        <x:f>'Flood Cases'!$C$18*('Flood Cases'!$C$19^A49)</x:f>
        <x:v>0.8208801085609092</x:v>
      </x:c>
      <x:c r="C49" s="86" t="n">
        <x:f>'Flood Cases'!$C$20*('Flood Cases'!$C$19^A49)</x:f>
        <x:v>0.2052200271402273</x:v>
      </x:c>
      <x:c r="D49" s="86" t="n">
        <x:f>IF('Breach Growth Arrest'!$B$8=0,0,IF(A49*24&lt;'Breach Growth Arrest'!$B$9,'Breach Growth Arrest'!$B$8,'Breach Growth Arrest'!$B$11))</x:f>
        <x:v>0</x:v>
      </x:c>
      <x:c r="E49" s="86" t="n">
        <x:f>SUM(B49:D49)</x:f>
        <x:v>1.0261001357011366</x:v>
      </x:c>
      <x:c r="F49" s="86" t="n">
        <x:f>'Flood Cases'!$C$21*'Flood Cases'!$C$23</x:f>
        <x:v>4.5</x:v>
      </x:c>
      <x:c r="G49" s="86" t="n">
        <x:f>'Receiving Discharge'!$B$13</x:f>
        <x:v>36.551249999999996</x:v>
      </x:c>
      <x:c r="H49" s="86" t="n">
        <x:f>F49+G49-E49</x:f>
        <x:v>40.02514986429886</x:v>
      </x:c>
      <x:c r="I49" s="86" t="n">
        <x:f>J48</x:f>
        <x:v>0</x:v>
      </x:c>
      <x:c r="J49" s="86" t="n">
        <x:f>MAX(0,I49-H49*86400)</x:f>
        <x:v>0</x:v>
      </x:c>
      <x:c r="K49" s="86" t="n">
        <x:f>J49/('Flood Cases'!$C$15*1000000)</x:f>
        <x:v>0</x:v>
      </x:c>
      <x:c r="L49" s="67" t="n">
        <x:f>J49/'Flood Cases'!$C$17</x:f>
        <x:v>0</x:v>
      </x:c>
    </x:row>
    <x:row r="50">
      <x:c r="A50" s="54" t="n">
        <x:v>45</x:v>
      </x:c>
      <x:c r="B50" s="86" t="n">
        <x:f>'Flood Cases'!$C$18*('Flood Cases'!$C$19^A50)</x:f>
        <x:v>0.7634185009616455</x:v>
      </x:c>
      <x:c r="C50" s="86" t="n">
        <x:f>'Flood Cases'!$C$20*('Flood Cases'!$C$19^A50)</x:f>
        <x:v>0.19085462524041139</x:v>
      </x:c>
      <x:c r="D50" s="86" t="n">
        <x:f>IF('Breach Growth Arrest'!$B$8=0,0,IF(A50*24&lt;'Breach Growth Arrest'!$B$9,'Breach Growth Arrest'!$B$8,'Breach Growth Arrest'!$B$11))</x:f>
        <x:v>0</x:v>
      </x:c>
      <x:c r="E50" s="86" t="n">
        <x:f>SUM(B50:D50)</x:f>
        <x:v>0.954273126202057</x:v>
      </x:c>
      <x:c r="F50" s="86" t="n">
        <x:f>'Flood Cases'!$C$21*'Flood Cases'!$C$23</x:f>
        <x:v>4.5</x:v>
      </x:c>
      <x:c r="G50" s="86" t="n">
        <x:f>'Receiving Discharge'!$B$13</x:f>
        <x:v>36.551249999999996</x:v>
      </x:c>
      <x:c r="H50" s="86" t="n">
        <x:f>F50+G50-E50</x:f>
        <x:v>40.09697687379794</x:v>
      </x:c>
      <x:c r="I50" s="86" t="n">
        <x:f>J49</x:f>
        <x:v>0</x:v>
      </x:c>
      <x:c r="J50" s="86" t="n">
        <x:f>MAX(0,I50-H50*86400)</x:f>
        <x:v>0</x:v>
      </x:c>
      <x:c r="K50" s="86" t="n">
        <x:f>J50/('Flood Cases'!$C$15*1000000)</x:f>
        <x:v>0</x:v>
      </x:c>
      <x:c r="L50" s="67" t="n">
        <x:f>J50/'Flood Cases'!$C$17</x:f>
        <x:v>0</x:v>
      </x:c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</x:row>
    <x:row r="53">
      <x:c r="A53" s="60" t="str">
        <x:v>Drawdown result</x:v>
      </x:c>
      <x:c r="B53" s="61"/>
      <x:c r="C53" s="61"/>
      <x:c r="D53" s="61"/>
      <x:c r="E53" s="61"/>
      <x:c r="F53" s="62"/>
      <x:c r="G53" s="54"/>
      <x:c r="H53" s="54"/>
      <x:c r="I53" s="54"/>
      <x:c r="J53" s="54"/>
      <x:c r="K53" s="54"/>
      <x:c r="L53" s="54"/>
    </x:row>
    <x:row r="54">
      <x:c r="A54" s="40" t="str">
        <x:v>Measure</x:v>
      </x:c>
      <x:c r="B54" s="41" t="str">
        <x:v>Value</x:v>
      </x:c>
      <x:c r="C54" s="41" t="str">
        <x:v>Unit</x:v>
      </x:c>
      <x:c r="D54" s="41" t="str">
        <x:v>Rule</x:v>
      </x:c>
      <x:c r="E54" s="41" t="str">
        <x:v>Interpretation</x:v>
      </x:c>
      <x:c r="F54" s="42" t="str">
        <x:v>Limit</x:v>
      </x:c>
      <x:c r="G54" s="54"/>
      <x:c r="H54" s="54"/>
      <x:c r="I54" s="54"/>
      <x:c r="J54" s="54"/>
      <x:c r="K54" s="54"/>
      <x:c r="L54" s="54"/>
    </x:row>
    <x:row r="55">
      <x:c r="A55" s="54" t="str">
        <x:v>Initial storage</x:v>
      </x:c>
      <x:c r="B55" s="63" t="n">
        <x:f>'Flood Cases'!$C$17</x:f>
        <x:v>75000000</x:v>
      </x:c>
      <x:c r="C55" s="54" t="str">
        <x:v>m³</x:v>
      </x:c>
      <x:c r="D55" s="54" t="str">
        <x:v>Case input</x:v>
      </x:c>
      <x:c r="E55" s="54" t="str">
        <x:v>Starting volume</x:v>
      </x:c>
      <x:c r="F55" s="54" t="str"/>
      <x:c r="G55" s="54"/>
      <x:c r="H55" s="54"/>
      <x:c r="I55" s="54"/>
      <x:c r="J55" s="54"/>
      <x:c r="K55" s="54"/>
      <x:c r="L55" s="54"/>
    </x:row>
    <x:row r="56">
      <x:c r="A56" s="54" t="str">
        <x:v>Day-0 net removal</x:v>
      </x:c>
      <x:c r="B56" s="63" t="n">
        <x:f>H5</x:f>
        <x:v>16.051249999999996</x:v>
      </x:c>
      <x:c r="C56" s="54" t="str">
        <x:v>m³/s</x:v>
      </x:c>
      <x:c r="D56" s="54" t="str">
        <x:v>Outflow minus inflow</x:v>
      </x:c>
      <x:c r="E56" s="54" t="str">
        <x:v>Positive required</x:v>
      </x:c>
      <x:c r="F56" s="54" t="str"/>
      <x:c r="G56" s="54"/>
      <x:c r="H56" s="54"/>
      <x:c r="I56" s="54"/>
      <x:c r="J56" s="54"/>
      <x:c r="K56" s="54"/>
      <x:c r="L56" s="54"/>
    </x:row>
    <x:row r="57">
      <x:c r="A57" s="54" t="str">
        <x:v>First zero-storage day</x:v>
      </x:c>
      <x:c r="B57" s="63" t="n">
        <x:f>IF(MIN(J5:J50)=0,MATCH(0,J5:J50,0)-1,"")</x:f>
        <x:v>28</x:v>
      </x:c>
      <x:c r="C57" s="54" t="str">
        <x:v>days</x:v>
      </x:c>
      <x:c r="D57" s="54" t="str">
        <x:v>First exact zero</x:v>
      </x:c>
      <x:c r="E57" s="54" t="str">
        <x:v>Discrete daily step</x:v>
      </x:c>
      <x:c r="F57" s="54" t="str"/>
      <x:c r="G57" s="54"/>
      <x:c r="H57" s="54"/>
      <x:c r="I57" s="54"/>
      <x:c r="J57" s="54"/>
      <x:c r="K57" s="54"/>
      <x:c r="L57" s="54"/>
    </x:row>
    <x:row r="58">
      <x:c r="A58" s="54" t="str">
        <x:v>Storage after 30 days</x:v>
      </x:c>
      <x:c r="B58" s="63" t="n">
        <x:f>INDEX(J5:J50,31)</x:f>
        <x:v>0</x:v>
      </x:c>
      <x:c r="C58" s="54" t="str">
        <x:v>m³</x:v>
      </x:c>
      <x:c r="D58" s="54" t="str">
        <x:v>Day index 30</x:v>
      </x:c>
      <x:c r="E58" s="54" t="str">
        <x:v>Campaign horizon</x:v>
      </x:c>
      <x:c r="F58" s="54" t="str"/>
      <x:c r="G58" s="54"/>
      <x:c r="H58" s="54"/>
      <x:c r="I58" s="54"/>
      <x:c r="J58" s="54"/>
      <x:c r="K58" s="54"/>
      <x:c r="L58" s="54"/>
    </x:row>
    <x:row r="59">
      <x:c r="A59" s="54" t="str">
        <x:v>Average depth after 30 days</x:v>
      </x:c>
      <x:c r="B59" s="63" t="n">
        <x:f>INDEX(K5:K50,31)</x:f>
        <x:v>0</x:v>
      </x:c>
      <x:c r="C59" s="54" t="str">
        <x:v>m</x:v>
      </x:c>
      <x:c r="D59" s="54" t="str">
        <x:v>Storage/area</x:v>
      </x:c>
      <x:c r="E59" s="54" t="str">
        <x:v>Average only</x:v>
      </x:c>
      <x:c r="F59" s="54" t="str"/>
      <x:c r="G59" s="54"/>
      <x:c r="H59" s="54"/>
      <x:c r="I59" s="54"/>
      <x:c r="J59" s="54"/>
      <x:c r="K59" s="54"/>
      <x:c r="L59" s="54"/>
    </x:row>
    <x:row r="60">
      <x:c r="A60" s="54" t="str">
        <x:v>Drawdown state</x:v>
      </x:c>
      <x:c r="B60" s="63" t="str">
        <x:f>IF(B56&lt;=0,"No positive drawdown",IF(B57="","Not drained in 45 days","Drained in model horizon"))</x:f>
        <x:v>Drained in model horizon</x:v>
      </x:c>
      <x:c r="C60" s="54" t="str">
        <x:v>text</x:v>
      </x:c>
      <x:c r="D60" s="54" t="str">
        <x:v>Rule</x:v>
      </x:c>
      <x:c r="E60" s="54" t="str">
        <x:v>No forecast</x:v>
      </x:c>
      <x:c r="F60" s="54" t="str">
        <x:v>Assumption-driven</x:v>
      </x:c>
      <x:c r="G60" s="54"/>
      <x:c r="H60" s="54"/>
      <x:c r="I60" s="54"/>
      <x:c r="J60" s="54"/>
      <x:c r="K60" s="54"/>
      <x:c r="L60" s="54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20" hidden="0" customWidth="1"/>
    <x:col min="4" max="4" width="16" hidden="0" customWidth="1"/>
    <x:col min="5" max="5" width="15" hidden="0" customWidth="1"/>
    <x:col min="6" max="6" width="16" hidden="0" customWidth="1"/>
    <x:col min="7" max="7" width="17" hidden="0" customWidth="1"/>
    <x:col min="8" max="8" width="19" hidden="0" customWidth="1"/>
    <x:col min="9" max="9" width="18" hidden="0" customWidth="1"/>
    <x:col min="10" max="10" width="13" hidden="0" customWidth="1"/>
    <x:col min="11" max="11" width="19" hidden="0" customWidth="1"/>
    <x:col min="12" max="12" width="20" hidden="0" customWidth="1"/>
    <x:col min="13" max="13" width="18" hidden="0" customWidth="1"/>
    <x:col min="14" max="14" width="19" hidden="0" customWidth="1"/>
  </x:cols>
  <x:sheetData>
    <x:row r="1" ht="24" customHeight="1">
      <x:c r="A1" s="52" t="str">
        <x:v>Pump family configuration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38" t="str">
        <x:v>Four wet-end classes use common electrical, control and maintenance interfaces. Quantity follows the selected formation.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40" t="str">
        <x:v>Class</x:v>
      </x:c>
      <x:c r="B4" s="41" t="str">
        <x:v>Quantity</x:v>
      </x:c>
      <x:c r="C4" s="41" t="str">
        <x:v>Unit design flow (m³/s)</x:v>
      </x:c>
      <x:c r="D4" s="41" t="str">
        <x:v>Design head (m)</x:v>
      </x:c>
      <x:c r="E4" s="41" t="str">
        <x:v>Unit efficiency</x:v>
      </x:c>
      <x:c r="F4" s="41" t="str">
        <x:v>Unit availability</x:v>
      </x:c>
      <x:c r="G4" s="41" t="str">
        <x:v>Unit dry mass (t)</x:v>
      </x:c>
      <x:c r="H4" s="41" t="str">
        <x:v>Solids passage (mm)</x:v>
      </x:c>
      <x:c r="I4" s="41" t="str">
        <x:v>Nominal flow (m³/s)</x:v>
      </x:c>
      <x:c r="J4" s="41" t="str">
        <x:v>Head factor</x:v>
      </x:c>
      <x:c r="K4" s="41" t="str">
        <x:v>Intake/debris factor</x:v>
      </x:c>
      <x:c r="L4" s="41" t="str">
        <x:v>Available flow (m³/s)</x:v>
      </x:c>
      <x:c r="M4" s="41" t="str">
        <x:v>Unit acquisition ($M)</x:v>
      </x:c>
      <x:c r="N4" s="42" t="str">
        <x:v>Acquisition screen ($M)</x:v>
      </x:c>
    </x:row>
    <x:row r="5">
      <x:c r="A5" s="54" t="str">
        <x:v>Tactical high-head</x:v>
      </x:c>
      <x:c r="B5" s="63" t="n">
        <x:f>'Controls'!$C$36</x:f>
        <x:v>20</x:v>
      </x:c>
      <x:c r="C5" s="55" t="n">
        <x:v>0.25</x:v>
      </x:c>
      <x:c r="D5" s="55" t="n">
        <x:v>60</x:v>
      </x:c>
      <x:c r="E5" s="56" t="n">
        <x:v>0.7</x:v>
      </x:c>
      <x:c r="F5" s="56" t="n">
        <x:v>0.8</x:v>
      </x:c>
      <x:c r="G5" s="55" t="n">
        <x:v>20</x:v>
      </x:c>
      <x:c r="H5" s="55" t="n">
        <x:v>75</x:v>
      </x:c>
      <x:c r="I5" s="63" t="n">
        <x:f>B5*C5</x:f>
        <x:v>5</x:v>
      </x:c>
      <x:c r="J5" s="67" t="n">
        <x:f>MIN(1,D5/'Flood Cases'!$C$24)</x:f>
        <x:v>1</x:v>
      </x:c>
      <x:c r="K5" s="67" t="n">
        <x:f>'Intake Debris'!$B$7</x:f>
        <x:v>0.855</x:v>
      </x:c>
      <x:c r="L5" s="63" t="n">
        <x:f>I5*F5*J5*K5*'Controls'!$C$8</x:f>
        <x:v>2.565</x:v>
      </x:c>
      <x:c r="M5" s="55" t="n">
        <x:v>8</x:v>
      </x:c>
      <x:c r="N5" s="63" t="n">
        <x:f>B5*M5</x:f>
        <x:v>160</x:v>
      </x:c>
    </x:row>
    <x:row r="6">
      <x:c r="A6" s="54" t="str">
        <x:v>Regional mixed-flow</x:v>
      </x:c>
      <x:c r="B6" s="63" t="n">
        <x:f>'Controls'!$C$37</x:f>
        <x:v>10</x:v>
      </x:c>
      <x:c r="C6" s="55" t="n">
        <x:v>2.5</x:v>
      </x:c>
      <x:c r="D6" s="55" t="n">
        <x:v>25</x:v>
      </x:c>
      <x:c r="E6" s="56" t="n">
        <x:v>0.82</x:v>
      </x:c>
      <x:c r="F6" s="56" t="n">
        <x:v>0.8</x:v>
      </x:c>
      <x:c r="G6" s="55" t="n">
        <x:v>120</x:v>
      </x:c>
      <x:c r="H6" s="55" t="n">
        <x:v>150</x:v>
      </x:c>
      <x:c r="I6" s="63" t="n">
        <x:f>B6*C6</x:f>
        <x:v>25</x:v>
      </x:c>
      <x:c r="J6" s="67" t="n">
        <x:f>MIN(1,D6/'Flood Cases'!$C$24)</x:f>
        <x:v>1</x:v>
      </x:c>
      <x:c r="K6" s="67" t="n">
        <x:f>'Intake Debris'!$B$7</x:f>
        <x:v>0.855</x:v>
      </x:c>
      <x:c r="L6" s="63" t="n">
        <x:f>I6*F6*J6*K6*'Controls'!$C$8</x:f>
        <x:v>12.825000000000001</x:v>
      </x:c>
      <x:c r="M6" s="55" t="n">
        <x:v>45</x:v>
      </x:c>
      <x:c r="N6" s="63" t="n">
        <x:f>B6*M6</x:f>
        <x:v>450</x:v>
      </x:c>
    </x:row>
    <x:row r="7">
      <x:c r="A7" s="54" t="str">
        <x:v>Basin axial-flow</x:v>
      </x:c>
      <x:c r="B7" s="63" t="n">
        <x:f>'Controls'!$C$38</x:f>
        <x:v>5</x:v>
      </x:c>
      <x:c r="C7" s="55" t="n">
        <x:v>10</x:v>
      </x:c>
      <x:c r="D7" s="55" t="n">
        <x:v>10</x:v>
      </x:c>
      <x:c r="E7" s="56" t="n">
        <x:v>0.85</x:v>
      </x:c>
      <x:c r="F7" s="56" t="n">
        <x:v>0.78</x:v>
      </x:c>
      <x:c r="G7" s="55" t="n">
        <x:v>350</x:v>
      </x:c>
      <x:c r="H7" s="55" t="n">
        <x:v>300</x:v>
      </x:c>
      <x:c r="I7" s="63" t="n">
        <x:f>B7*C7</x:f>
        <x:v>50</x:v>
      </x:c>
      <x:c r="J7" s="67" t="n">
        <x:f>MIN(1,D7/'Flood Cases'!$C$24)</x:f>
        <x:v>0.6666666666666666</x:v>
      </x:c>
      <x:c r="K7" s="67" t="n">
        <x:f>'Intake Debris'!$B$7</x:f>
        <x:v>0.855</x:v>
      </x:c>
      <x:c r="L7" s="63" t="n">
        <x:f>I7*F7*J7*K7*'Controls'!$C$8</x:f>
        <x:v>16.6725</x:v>
      </x:c>
      <x:c r="M7" s="55" t="n">
        <x:v>110</x:v>
      </x:c>
      <x:c r="N7" s="63" t="n">
        <x:f>B7*M7</x:f>
        <x:v>550</x:v>
      </x:c>
    </x:row>
    <x:row r="8">
      <x:c r="A8" s="54" t="str">
        <x:v>Barge/closure station</x:v>
      </x:c>
      <x:c r="B8" s="63" t="n">
        <x:f>'Controls'!$C$39</x:f>
        <x:v>1</x:v>
      </x:c>
      <x:c r="C8" s="55" t="n">
        <x:v>20</x:v>
      </x:c>
      <x:c r="D8" s="55" t="n">
        <x:v>7</x:v>
      </x:c>
      <x:c r="E8" s="56" t="n">
        <x:v>0.86</x:v>
      </x:c>
      <x:c r="F8" s="56" t="n">
        <x:v>0.75</x:v>
      </x:c>
      <x:c r="G8" s="55" t="n">
        <x:v>800</x:v>
      </x:c>
      <x:c r="H8" s="55" t="n">
        <x:v>500</x:v>
      </x:c>
      <x:c r="I8" s="63" t="n">
        <x:f>B8*C8</x:f>
        <x:v>20</x:v>
      </x:c>
      <x:c r="J8" s="67" t="n">
        <x:f>MIN(1,D8/'Flood Cases'!$C$24)</x:f>
        <x:v>0.4666666666666667</x:v>
      </x:c>
      <x:c r="K8" s="67" t="n">
        <x:f>'Intake Debris'!$B$7</x:f>
        <x:v>0.855</x:v>
      </x:c>
      <x:c r="L8" s="63" t="n">
        <x:f>I8*F8*J8*K8*'Controls'!$C$8</x:f>
        <x:v>4.48875</x:v>
      </x:c>
      <x:c r="M8" s="55" t="n">
        <x:v>220</x:v>
      </x:c>
      <x:c r="N8" s="63" t="n">
        <x:f>B8*M8</x:f>
        <x:v>220</x:v>
      </x:c>
    </x:row>
    <x:row r="9">
      <x:c r="A9" s="54"/>
      <x:c r="B9" s="63"/>
      <x:c r="C9" s="54"/>
      <x:c r="D9" s="54"/>
      <x:c r="E9" s="54"/>
      <x:c r="F9" s="54"/>
      <x:c r="G9" s="54"/>
      <x:c r="H9" s="54"/>
      <x:c r="I9" s="63"/>
      <x:c r="J9" s="63"/>
      <x:c r="K9" s="63"/>
      <x:c r="L9" s="63"/>
      <x:c r="M9" s="54"/>
      <x:c r="N9" s="63"/>
    </x:row>
    <x:row r="10">
      <x:c r="A10" s="54" t="str">
        <x:v>Total</x:v>
      </x:c>
      <x:c r="B10" s="63" t="n">
        <x:f>SUM(B5:B8)</x:f>
        <x:v>36</x:v>
      </x:c>
      <x:c r="C10" s="54"/>
      <x:c r="D10" s="54"/>
      <x:c r="E10" s="54"/>
      <x:c r="F10" s="54"/>
      <x:c r="G10" s="54" t="n">
        <x:f>SUMPRODUCT(B5:B8,G5:G8)</x:f>
        <x:v>4150</x:v>
      </x:c>
      <x:c r="H10" s="54"/>
      <x:c r="I10" s="63" t="n">
        <x:f>SUM(I5:I8)</x:f>
        <x:v>100</x:v>
      </x:c>
      <x:c r="J10" s="63"/>
      <x:c r="K10" s="63"/>
      <x:c r="L10" s="63" t="n">
        <x:f>SUM(L5:L8)</x:f>
        <x:v>36.551249999999996</x:v>
      </x:c>
      <x:c r="M10" s="54"/>
      <x:c r="N10" s="63" t="n">
        <x:f>SUM(N5:N8)</x:f>
        <x:v>1380</x:v>
      </x:c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</x:row>
    <x:row r="13">
      <x:c r="A13" s="85" t="str">
        <x:v>Boundary</x:v>
      </x:c>
      <x:c r="B13" s="85" t="str">
        <x:v>Available flow is a deterministic screen using unit availability, head, intake/debris and formation operating utilization. It is not a manufacturer pump curve, cavitation model or endurance demonstration.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</x:row>
  </x:sheetData>
  <x:mergeCells>
    <x:mergeCell ref="A1:N1"/>
    <x:mergeCell ref="A2:N2"/>
    <x:mergeCell ref="B13:N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23" hidden="0" customWidth="1"/>
    <x:col min="4" max="4" width="20" hidden="0" customWidth="1"/>
    <x:col min="5" max="5" width="14" hidden="0" customWidth="1"/>
    <x:col min="6" max="6" width="24" hidden="0" customWidth="1"/>
    <x:col min="7" max="7" width="29" hidden="0" customWidth="1"/>
  </x:cols>
  <x:sheetData>
    <x:row r="1" ht="24" customHeight="1">
      <x:c r="A1" s="52" t="str">
        <x:v>Pump capacity and shared constraints</x:v>
      </x:c>
      <x:c r="B1" s="53"/>
      <x:c r="C1" s="53"/>
      <x:c r="D1" s="53"/>
      <x:c r="E1" s="53"/>
      <x:c r="F1" s="53"/>
      <x:c r="G1" s="53"/>
    </x:row>
    <x:row r="2" ht="28" customHeight="1">
      <x:c r="A2" s="38" t="str">
        <x:v>The group output is the minimum of pump/intake, conveyance, receiving-water and power capacities.</x:v>
      </x:c>
      <x:c r="B2" s="38"/>
      <x:c r="C2" s="38"/>
      <x:c r="D2" s="38"/>
      <x:c r="E2" s="38"/>
      <x:c r="F2" s="38"/>
      <x:c r="G2" s="38"/>
    </x:row>
    <x:row r="3">
      <x:c r="A3" s="54"/>
      <x:c r="B3" s="54"/>
      <x:c r="C3" s="54"/>
      <x:c r="D3" s="54"/>
      <x:c r="E3" s="54"/>
      <x:c r="F3" s="54"/>
      <x:c r="G3" s="54"/>
    </x:row>
    <x:row r="4">
      <x:c r="A4" s="40" t="str">
        <x:v>Constraint</x:v>
      </x:c>
      <x:c r="B4" s="41" t="str">
        <x:v>Capacity (m³/s)</x:v>
      </x:c>
      <x:c r="C4" s="41" t="str">
        <x:v>Utilization at effective flow</x:v>
      </x:c>
      <x:c r="D4" s="41" t="str">
        <x:v>Binding margin (m³/s)</x:v>
      </x:c>
      <x:c r="E4" s="41" t="str">
        <x:v>State</x:v>
      </x:c>
      <x:c r="F4" s="41" t="str">
        <x:v>Evidence</x:v>
      </x:c>
      <x:c r="G4" s="42" t="str">
        <x:v>Next proof</x:v>
      </x:c>
    </x:row>
    <x:row r="5">
      <x:c r="A5" s="54" t="str">
        <x:v>Pump and intake</x:v>
      </x:c>
      <x:c r="B5" s="63" t="n">
        <x:f>'Receiving Discharge'!$B$10</x:f>
        <x:v>36.551249999999996</x:v>
      </x:c>
      <x:c r="C5" s="67" t="n">
        <x:f>IF(B5=0,0,'Receiving Discharge'!$B$13/B5)</x:f>
        <x:v>1</x:v>
      </x:c>
      <x:c r="D5" s="63" t="n">
        <x:f>B5-'Receiving Discharge'!$B$13</x:f>
        <x:v>0</x:v>
      </x:c>
      <x:c r="E5" s="63" t="str">
        <x:f>IF(ABS(D5)&lt;0.0001,"Binding","Spare")</x:f>
        <x:v>Binding</x:v>
      </x:c>
      <x:c r="F5" s="54" t="str">
        <x:v>Configuration hypothesis</x:v>
      </x:c>
      <x:c r="G5" s="54" t="str">
        <x:v>Instrumented pump/intake test</x:v>
      </x:c>
    </x:row>
    <x:row r="6">
      <x:c r="A6" s="54" t="str">
        <x:v>Drainage Spine</x:v>
      </x:c>
      <x:c r="B6" s="63" t="n">
        <x:f>'Receiving Discharge'!$B$9</x:f>
        <x:v>113.39409221073625</x:v>
      </x:c>
      <x:c r="C6" s="67" t="n">
        <x:f>IF(B6=0,0,'Receiving Discharge'!$B$13/B6)</x:f>
        <x:v>0.32233822139579943</x:v>
      </x:c>
      <x:c r="D6" s="63" t="n">
        <x:f>B6-'Receiving Discharge'!$B$13</x:f>
        <x:v>76.84284221073625</x:v>
      </x:c>
      <x:c r="E6" s="63" t="str">
        <x:f>IF(ABS(D6)&lt;0.0001,"Binding","Spare")</x:f>
        <x:v>Spare</x:v>
      </x:c>
      <x:c r="F6" s="54" t="str">
        <x:v>Configuration hypothesis</x:v>
      </x:c>
      <x:c r="G6" s="54" t="str">
        <x:v>Route installation and hydraulic test</x:v>
      </x:c>
    </x:row>
    <x:row r="7">
      <x:c r="A7" s="54" t="str">
        <x:v>Receiving water</x:v>
      </x:c>
      <x:c r="B7" s="63" t="n">
        <x:f>'Receiving Discharge'!$B$8</x:f>
        <x:v>76.95</x:v>
      </x:c>
      <x:c r="C7" s="67" t="n">
        <x:f>IF(B7=0,0,'Receiving Discharge'!$B$13/B7)</x:f>
        <x:v>0.4749999999999999</x:v>
      </x:c>
      <x:c r="D7" s="63" t="n">
        <x:f>B7-'Receiving Discharge'!$B$13</x:f>
        <x:v>40.39875000000001</x:v>
      </x:c>
      <x:c r="E7" s="63" t="str">
        <x:f>IF(ABS(D7)&lt;0.0001,"Binding","Spare")</x:f>
        <x:v>Spare</x:v>
      </x:c>
      <x:c r="F7" s="54" t="str">
        <x:v>Case hypothesis</x:v>
      </x:c>
      <x:c r="G7" s="54" t="str">
        <x:v>Receiving-stage and environmental model</x:v>
      </x:c>
    </x:row>
    <x:row r="8">
      <x:c r="A8" s="54" t="str">
        <x:v>Power</x:v>
      </x:c>
      <x:c r="B8" s="63" t="n">
        <x:f>'Receiving Discharge'!$B$12</x:f>
        <x:v>167.1763506625892</x:v>
      </x:c>
      <x:c r="C8" s="67" t="n">
        <x:f>IF(B8=0,0,'Receiving Discharge'!$B$13/B8)</x:f>
        <x:v>0.2186388795731707</x:v>
      </x:c>
      <x:c r="D8" s="63" t="n">
        <x:f>B8-'Receiving Discharge'!$B$13</x:f>
        <x:v>130.6251006625892</x:v>
      </x:c>
      <x:c r="E8" s="63" t="str">
        <x:f>IF(ABS(D8)&lt;0.0001,"Binding","Spare")</x:f>
        <x:v>Spare</x:v>
      </x:c>
      <x:c r="F8" s="54" t="str">
        <x:v>Configuration hypothesis</x:v>
      </x:c>
      <x:c r="G8" s="54" t="str">
        <x:v>Electrical load and source trial</x:v>
      </x:c>
    </x:row>
    <x:row r="9">
      <x:c r="A9" s="54"/>
      <x:c r="B9" s="63"/>
      <x:c r="C9" s="63"/>
      <x:c r="D9" s="63"/>
      <x:c r="E9" s="63"/>
      <x:c r="F9" s="54"/>
      <x:c r="G9" s="54"/>
    </x:row>
    <x:row r="10">
      <x:c r="A10" s="54" t="str">
        <x:v>Effective group pumping</x:v>
      </x:c>
      <x:c r="B10" s="63" t="n">
        <x:f>'Receiving Discharge'!$B$13</x:f>
        <x:v>36.551249999999996</x:v>
      </x:c>
      <x:c r="C10" s="63"/>
      <x:c r="D10" s="63"/>
      <x:c r="E10" s="63" t="str">
        <x:v>Minimum</x:v>
      </x:c>
      <x:c r="F10" s="54" t="str">
        <x:v>Calculated</x:v>
      </x:c>
      <x:c r="G10" s="54" t="str">
        <x:v>Complete-thread test</x:v>
      </x:c>
    </x:row>
    <x:row r="11">
      <x:c r="A11" s="54"/>
      <x:c r="B11" s="54"/>
      <x:c r="C11" s="54"/>
      <x:c r="D11" s="54"/>
      <x:c r="E11" s="54"/>
      <x:c r="F11" s="54"/>
      <x:c r="G11" s="54"/>
    </x:row>
    <x:row r="12">
      <x:c r="A12" s="54"/>
      <x:c r="B12" s="54"/>
      <x:c r="C12" s="54"/>
      <x:c r="D12" s="54"/>
      <x:c r="E12" s="54"/>
      <x:c r="F12" s="54"/>
      <x:c r="G12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1" hidden="0" customWidth="1"/>
    <x:col min="5" max="5" width="2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</x:cols>
  <x:sheetData>
    <x:row r="1" ht="24" customHeight="1">
      <x:c r="A1" s="52" t="str">
        <x:v>Pump power and liquid-fuel demand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Electric common-bus pumping can use safe grid, PRG or other sources. The liquid share is an explicit logistics assumption.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Formula</x:v>
      </x:c>
      <x:c r="E4" s="41" t="str">
        <x:v>Driver</x:v>
      </x:c>
      <x:c r="F4" s="41" t="str">
        <x:v>Reserve</x:v>
      </x:c>
      <x:c r="G4" s="41" t="str">
        <x:v>Daily energy</x:v>
      </x:c>
      <x:c r="H4" s="41" t="str">
        <x:v>Liquid share</x:v>
      </x:c>
      <x:c r="I4" s="41" t="str">
        <x:v>Fuel demand</x:v>
      </x:c>
      <x:c r="J4" s="42" t="str">
        <x:v>Limit</x:v>
      </x:c>
    </x:row>
    <x:row r="5">
      <x:c r="A5" s="54" t="str">
        <x:v>Effective pumping</x:v>
      </x:c>
      <x:c r="B5" s="63" t="n">
        <x:f>'Receiving Discharge'!$B$13</x:f>
        <x:v>36.551249999999996</x:v>
      </x:c>
      <x:c r="C5" s="54" t="str">
        <x:v>m³/s</x:v>
      </x:c>
      <x:c r="D5" s="54" t="str">
        <x:v>Shared minimum</x:v>
      </x:c>
      <x:c r="E5" s="54" t="str">
        <x:v>Pump output</x:v>
      </x:c>
      <x:c r="F5" s="54" t="str"/>
      <x:c r="G5" s="54" t="str"/>
      <x:c r="H5" s="54" t="str"/>
      <x:c r="I5" s="54" t="str"/>
      <x:c r="J5" s="54" t="str">
        <x:v>Effective flow</x:v>
      </x:c>
    </x:row>
    <x:row r="6">
      <x:c r="A6" s="54" t="str">
        <x:v>Total dynamic head</x:v>
      </x:c>
      <x:c r="B6" s="63" t="n">
        <x:f>'Flood Cases'!$C$24</x:f>
        <x:v>15</x:v>
      </x:c>
      <x:c r="C6" s="54" t="str">
        <x:v>m</x:v>
      </x:c>
      <x:c r="D6" s="54" t="str">
        <x:v>Selected case</x:v>
      </x:c>
      <x:c r="E6" s="54" t="str">
        <x:v>Static + route screen</x:v>
      </x:c>
      <x:c r="F6" s="54" t="str"/>
      <x:c r="G6" s="54" t="str"/>
      <x:c r="H6" s="54" t="str"/>
      <x:c r="I6" s="54" t="str"/>
      <x:c r="J6" s="54" t="str">
        <x:v>Requires route model</x:v>
      </x:c>
    </x:row>
    <x:row r="7">
      <x:c r="A7" s="54" t="str">
        <x:v>Pump-drive efficiency</x:v>
      </x:c>
      <x:c r="B7" s="67" t="n">
        <x:f>'Controls'!$C$9</x:f>
        <x:v>0.82</x:v>
      </x:c>
      <x:c r="C7" s="54" t="str">
        <x:v>fraction</x:v>
      </x:c>
      <x:c r="D7" s="54" t="str">
        <x:v>Editable</x:v>
      </x:c>
      <x:c r="E7" s="54" t="str">
        <x:v>Pump and drive</x:v>
      </x:c>
      <x:c r="F7" s="54" t="str"/>
      <x:c r="G7" s="54" t="str"/>
      <x:c r="H7" s="54" t="str"/>
      <x:c r="I7" s="54" t="str"/>
      <x:c r="J7" s="54" t="str">
        <x:v>Requires test</x:v>
      </x:c>
    </x:row>
    <x:row r="8">
      <x:c r="A8" s="54" t="str">
        <x:v>Hydraulic/electrical input</x:v>
      </x:c>
      <x:c r="B8" s="63" t="n">
        <x:f>1000*9.81*B5*B6/B7/1000000</x:f>
        <x:v>6.559166387195122</x:v>
      </x:c>
      <x:c r="C8" s="54" t="str">
        <x:v>MW</x:v>
      </x:c>
      <x:c r="D8" s="54" t="str">
        <x:v>ρgQH/η</x:v>
      </x:c>
      <x:c r="E8" s="54" t="str">
        <x:v>Flow and head</x:v>
      </x:c>
      <x:c r="F8" s="54" t="str"/>
      <x:c r="G8" s="63" t="n">
        <x:f>B8*24</x:f>
        <x:v>157.41999329268293</x:v>
      </x:c>
      <x:c r="H8" s="67" t="n">
        <x:f>'Controls'!$C$16</x:f>
        <x:v>0.6</x:v>
      </x:c>
      <x:c r="I8" s="63" t="n">
        <x:f>B8*24000*10500*H8/137381</x:f>
        <x:v>7218.945543735323</x:v>
      </x:c>
      <x:c r="J8" s="54" t="str">
        <x:v>Screening power</x:v>
      </x:c>
    </x:row>
    <x:row r="9">
      <x:c r="A9" s="54" t="str">
        <x:v>Auxiliary share</x:v>
      </x:c>
      <x:c r="B9" s="56" t="n">
        <x:f>0.1</x:f>
        <x:v>0.1</x:v>
      </x:c>
      <x:c r="C9" s="54" t="str">
        <x:v>fraction</x:v>
      </x:c>
      <x:c r="D9" s="54" t="str">
        <x:v>Editable</x:v>
      </x:c>
      <x:c r="E9" s="54" t="str">
        <x:v>Controls, intake, lighting</x:v>
      </x:c>
      <x:c r="F9" s="54" t="str"/>
      <x:c r="G9" s="63" t="str"/>
      <x:c r="H9" s="63" t="str"/>
      <x:c r="I9" s="63" t="str"/>
      <x:c r="J9" s="54" t="str">
        <x:v>Assumption</x:v>
      </x:c>
    </x:row>
    <x:row r="10">
      <x:c r="A10" s="54" t="str">
        <x:v>Power before reserve</x:v>
      </x:c>
      <x:c r="B10" s="63" t="n">
        <x:f>B8*(1+B9)</x:f>
        <x:v>7.215083025914634</x:v>
      </x:c>
      <x:c r="C10" s="54" t="str">
        <x:v>MW</x:v>
      </x:c>
      <x:c r="D10" s="54" t="str">
        <x:v>Input × auxiliaries</x:v>
      </x:c>
      <x:c r="E10" s="54" t="str"/>
      <x:c r="F10" s="54" t="str"/>
      <x:c r="G10" s="63" t="n">
        <x:f>B10*24</x:f>
        <x:v>173.1619926219512</x:v>
      </x:c>
      <x:c r="H10" s="63"/>
      <x:c r="I10" s="63" t="n">
        <x:f>B10*24000*10500*'Controls'!$C$16/137381</x:f>
        <x:v>7940.840098108855</x:v>
      </x:c>
      <x:c r="J10" s="54" t="str">
        <x:v>Calculated</x:v>
      </x:c>
    </x:row>
    <x:row r="11">
      <x:c r="A11" s="54" t="str">
        <x:v>Power reserve</x:v>
      </x:c>
      <x:c r="B11" s="67" t="n">
        <x:f>'Controls'!$C$10</x:f>
        <x:v>0.25</x:v>
      </x:c>
      <x:c r="C11" s="54" t="str">
        <x:v>fraction</x:v>
      </x:c>
      <x:c r="D11" s="54" t="str">
        <x:v>Editable</x:v>
      </x:c>
      <x:c r="E11" s="54" t="str">
        <x:v>Source reserve</x:v>
      </x:c>
      <x:c r="F11" s="54" t="str"/>
      <x:c r="G11" s="54" t="str"/>
      <x:c r="H11" s="54" t="str"/>
      <x:c r="I11" s="54" t="str"/>
      <x:c r="J11" s="54" t="str">
        <x:v>Assumption</x:v>
      </x:c>
    </x:row>
    <x:row r="12">
      <x:c r="A12" s="54" t="str">
        <x:v>Required installed power</x:v>
      </x:c>
      <x:c r="B12" s="63" t="n">
        <x:f>B10*(1+B11)</x:f>
        <x:v>9.018853782393293</x:v>
      </x:c>
      <x:c r="C12" s="54" t="str">
        <x:v>MW</x:v>
      </x:c>
      <x:c r="D12" s="54" t="str">
        <x:v>Power × reserve</x:v>
      </x:c>
      <x:c r="E12" s="54" t="str"/>
      <x:c r="F12" s="54" t="str"/>
      <x:c r="G12" s="54" t="str"/>
      <x:c r="H12" s="54"/>
      <x:c r="I12" s="54"/>
      <x:c r="J12" s="54" t="str">
        <x:v>Calculated</x:v>
      </x:c>
    </x:row>
    <x:row r="13">
      <x:c r="A13" s="54" t="str">
        <x:v>Selected available power</x:v>
      </x:c>
      <x:c r="B13" s="63" t="n">
        <x:f>'Controls'!$C$53</x:f>
        <x:v>30</x:v>
      </x:c>
      <x:c r="C13" s="54" t="str">
        <x:v>MW</x:v>
      </x:c>
      <x:c r="D13" s="54" t="str">
        <x:v>Selected formation</x:v>
      </x:c>
      <x:c r="E13" s="54" t="str">
        <x:v>Source portfolio</x:v>
      </x:c>
      <x:c r="F13" s="54" t="str"/>
      <x:c r="G13" s="54" t="str"/>
      <x:c r="H13" s="54" t="str"/>
      <x:c r="I13" s="54" t="str"/>
      <x:c r="J13" s="54" t="str">
        <x:v>Package bound</x:v>
      </x:c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40" t="str">
        <x:v>Fuel assumptions</x:v>
      </x:c>
      <x:c r="B16" s="41" t="str">
        <x:v>Value</x:v>
      </x:c>
      <x:c r="C16" s="41" t="str">
        <x:v>Unit</x:v>
      </x:c>
      <x:c r="D16" s="41" t="str">
        <x:v>Basis</x:v>
      </x:c>
      <x:c r="E16" s="41" t="str"/>
      <x:c r="F16" s="41" t="str"/>
      <x:c r="G16" s="41" t="str"/>
      <x:c r="H16" s="41" t="str"/>
      <x:c r="I16" s="41" t="str"/>
      <x:c r="J16" s="42" t="str">
        <x:v>Source URL</x:v>
      </x:c>
    </x:row>
    <x:row r="17">
      <x:c r="A17" s="54" t="str">
        <x:v>Heat rate</x:v>
      </x:c>
      <x:c r="B17" s="55" t="n">
        <x:v>10500</x:v>
      </x:c>
      <x:c r="C17" s="54" t="str">
        <x:v>Btu/kWh</x:v>
      </x:c>
      <x:c r="D17" s="54" t="str">
        <x:v>Screening generator efficiency</x:v>
      </x:c>
      <x:c r="E17" s="54"/>
      <x:c r="F17" s="54"/>
      <x:c r="G17" s="54"/>
      <x:c r="H17" s="54"/>
      <x:c r="I17" s="54"/>
      <x:c r="J17" s="54" t="str">
        <x:v>https://www.eia.gov/tools/faqs/faq.php?id=107&amp;t=7</x:v>
      </x:c>
    </x:row>
    <x:row r="18">
      <x:c r="A18" s="54" t="str">
        <x:v>Diesel energy</x:v>
      </x:c>
      <x:c r="B18" s="55" t="n">
        <x:v>137381</x:v>
      </x:c>
      <x:c r="C18" s="54" t="str">
        <x:v>Btu/gal</x:v>
      </x:c>
      <x:c r="D18" s="54" t="str">
        <x:v>EIA conversion factor used in project</x:v>
      </x:c>
      <x:c r="E18" s="54"/>
      <x:c r="F18" s="54"/>
      <x:c r="G18" s="54"/>
      <x:c r="H18" s="54"/>
      <x:c r="I18" s="54"/>
      <x:c r="J18" s="54" t="str">
        <x:v>https://www.eia.gov/energyexplained/units-and-calculators/energy-conversion-calculators.php</x:v>
      </x:c>
    </x:row>
    <x:row r="19">
      <x:c r="A19" s="54" t="str">
        <x:v>Liquid share</x:v>
      </x:c>
      <x:c r="B19" s="88" t="n">
        <x:f>'Controls'!$C$16</x:f>
        <x:v>0.6</x:v>
      </x:c>
      <x:c r="C19" s="54" t="str">
        <x:v>fraction</x:v>
      </x:c>
      <x:c r="D19" s="54" t="str">
        <x:v>Editable source mix</x:v>
      </x:c>
      <x:c r="E19" s="54"/>
      <x:c r="F19" s="54"/>
      <x:c r="G19" s="54"/>
      <x:c r="H19" s="54"/>
      <x:c r="I19" s="54"/>
      <x:c r="J19" s="54" t="str">
        <x:v>Design assumption</x:v>
      </x:c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27" hidden="0" customWidth="1"/>
    <x:col min="8" max="8" width="18" hidden="0" customWidth="1"/>
  </x:cols>
  <x:sheetData>
    <x:row r="1" ht="24" customHeight="1">
      <x:c r="A1" s="52" t="str">
        <x:v>Intake and debris derating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Intake geometry, submergence, trash and sediment reduce nominal pump capacity. Factors are explicit scenario assumptions.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Parameter</x:v>
      </x:c>
      <x:c r="B4" s="41" t="str">
        <x:v>Value</x:v>
      </x:c>
      <x:c r="C4" s="41" t="str">
        <x:v>Unit</x:v>
      </x:c>
      <x:c r="D4" s="41" t="str">
        <x:v>Source</x:v>
      </x:c>
      <x:c r="E4" s="41" t="str">
        <x:v>Effect</x:v>
      </x:c>
      <x:c r="F4" s="41" t="str">
        <x:v>Monitoring</x:v>
      </x:c>
      <x:c r="G4" s="41" t="str">
        <x:v>Failure response</x:v>
      </x:c>
      <x:c r="H4" s="42" t="str">
        <x:v>Evidence state</x:v>
      </x:c>
    </x:row>
    <x:row r="5">
      <x:c r="A5" s="54" t="str">
        <x:v>Case intake factor</x:v>
      </x:c>
      <x:c r="B5" s="67" t="n">
        <x:f>'Flood Cases'!$C$25</x:f>
        <x:v>0.95</x:v>
      </x:c>
      <x:c r="C5" s="54" t="str">
        <x:v>fraction</x:v>
      </x:c>
      <x:c r="D5" s="54" t="str">
        <x:v>Selected flood case</x:v>
      </x:c>
      <x:c r="E5" s="54" t="str">
        <x:v>Capacity derating</x:v>
      </x:c>
      <x:c r="F5" s="54" t="str">
        <x:v>Level, pressure and camera</x:v>
      </x:c>
      <x:c r="G5" s="54" t="str">
        <x:v>Move or excavate intake</x:v>
      </x:c>
      <x:c r="H5" s="54" t="str">
        <x:v>Assumption</x:v>
      </x:c>
    </x:row>
    <x:row r="6">
      <x:c r="A6" s="54" t="str">
        <x:v>Case debris factor</x:v>
      </x:c>
      <x:c r="B6" s="67" t="n">
        <x:f>'Flood Cases'!$C$26</x:f>
        <x:v>0.9</x:v>
      </x:c>
      <x:c r="C6" s="54" t="str">
        <x:v>fraction</x:v>
      </x:c>
      <x:c r="D6" s="54" t="str">
        <x:v>Selected flood case</x:v>
      </x:c>
      <x:c r="E6" s="54" t="str">
        <x:v>Capacity derating</x:v>
      </x:c>
      <x:c r="F6" s="54" t="str">
        <x:v>Differential pressure</x:v>
      </x:c>
      <x:c r="G6" s="54" t="str">
        <x:v>Rake, bypass or isolate</x:v>
      </x:c>
      <x:c r="H6" s="54" t="str">
        <x:v>Assumption</x:v>
      </x:c>
    </x:row>
    <x:row r="7">
      <x:c r="A7" s="54" t="str">
        <x:v>Combined hydraulic factor</x:v>
      </x:c>
      <x:c r="B7" s="67" t="n">
        <x:f>B5*B6</x:f>
        <x:v>0.855</x:v>
      </x:c>
      <x:c r="C7" s="54" t="str">
        <x:v>fraction</x:v>
      </x:c>
      <x:c r="D7" s="54" t="str">
        <x:v>Product</x:v>
      </x:c>
      <x:c r="E7" s="54" t="str">
        <x:v>Applied to pump portfolio</x:v>
      </x:c>
      <x:c r="F7" s="54" t="str">
        <x:v>Flow meters</x:v>
      </x:c>
      <x:c r="G7" s="54" t="str">
        <x:v>Reserve capacity</x:v>
      </x:c>
      <x:c r="H7" s="54" t="str">
        <x:v>Calculated</x:v>
      </x:c>
    </x:row>
    <x:row r="8">
      <x:c r="A8" s="54" t="str">
        <x:v>Trash-rack design flow</x:v>
      </x:c>
      <x:c r="B8" s="63" t="n">
        <x:f>'Controls'!$C$35</x:f>
        <x:v>100</x:v>
      </x:c>
      <x:c r="C8" s="54" t="str">
        <x:v>m³/s</x:v>
      </x:c>
      <x:c r="D8" s="54" t="str">
        <x:v>Selected nominal pump</x:v>
      </x:c>
      <x:c r="E8" s="54" t="str">
        <x:v>Gross screen</x:v>
      </x:c>
      <x:c r="F8" s="54" t="str">
        <x:v>Hydraulic survey</x:v>
      </x:c>
      <x:c r="G8" s="54" t="str">
        <x:v>Add bays or alternate source</x:v>
      </x:c>
      <x:c r="H8" s="54" t="str">
        <x:v>Assumption</x:v>
      </x:c>
    </x:row>
    <x:row r="9">
      <x:c r="A9" s="54" t="str">
        <x:v>Available trash-rack flow</x:v>
      </x:c>
      <x:c r="B9" s="63" t="n">
        <x:f>B8*B7</x:f>
        <x:v>85.5</x:v>
      </x:c>
      <x:c r="C9" s="54" t="str">
        <x:v>m³/s</x:v>
      </x:c>
      <x:c r="D9" s="54" t="str">
        <x:v>Design flow times factor</x:v>
      </x:c>
      <x:c r="E9" s="54" t="str">
        <x:v>Available intake</x:v>
      </x:c>
      <x:c r="F9" s="54" t="str">
        <x:v>Flow and head</x:v>
      </x:c>
      <x:c r="G9" s="54" t="str">
        <x:v>Rebalance train</x:v>
      </x:c>
      <x:c r="H9" s="54" t="str">
        <x:v>Calculated</x:v>
      </x:c>
    </x:row>
    <x:row r="10">
      <x:c r="A10" s="54" t="str">
        <x:v>Sediment cleanout interval</x:v>
      </x:c>
      <x:c r="B10" s="55" t="n">
        <x:f>12</x:f>
        <x:v>12</x:v>
      </x:c>
      <x:c r="C10" s="54" t="str">
        <x:v>hours</x:v>
      </x:c>
      <x:c r="D10" s="54" t="str">
        <x:v>Provisional</x:v>
      </x:c>
      <x:c r="E10" s="54" t="str">
        <x:v>Maintenance interval</x:v>
      </x:c>
      <x:c r="F10" s="54" t="str">
        <x:v>Turbidity and vibration</x:v>
      </x:c>
      <x:c r="G10" s="54" t="str">
        <x:v>Rotate equipment</x:v>
      </x:c>
      <x:c r="H10" s="54" t="str">
        <x:v>Assumption</x:v>
      </x:c>
    </x:row>
    <x:row r="11">
      <x:c r="A11" s="54" t="str">
        <x:v>Redundant intake bays</x:v>
      </x:c>
      <x:c r="B11" s="55" t="n">
        <x:f>2</x:f>
        <x:v>2</x:v>
      </x:c>
      <x:c r="C11" s="54" t="str">
        <x:v>bays</x:v>
      </x:c>
      <x:c r="D11" s="54" t="str">
        <x:v>Provisional</x:v>
      </x:c>
      <x:c r="E11" s="54" t="str">
        <x:v>Fault isolation</x:v>
      </x:c>
      <x:c r="F11" s="54" t="str">
        <x:v>Bay state</x:v>
      </x:c>
      <x:c r="G11" s="54" t="str">
        <x:v>Operate N-1</x:v>
      </x:c>
      <x:c r="H11" s="54" t="str">
        <x:v>Assumption</x:v>
      </x:c>
    </x:row>
    <x:row r="12">
      <x:c r="A12" s="54" t="str">
        <x:v>Intake evidence</x:v>
      </x:c>
      <x:c r="B12" s="54" t="str">
        <x:v>Open</x:v>
      </x:c>
      <x:c r="C12" s="54" t="str">
        <x:v>status</x:v>
      </x:c>
      <x:c r="D12" s="54" t="str">
        <x:v>R3 gate</x:v>
      </x:c>
      <x:c r="E12" s="54" t="str">
        <x:v>No verified intake configuration</x:v>
      </x:c>
      <x:c r="F12" s="54" t="str">
        <x:v>Independent test</x:v>
      </x:c>
      <x:c r="G12" s="54" t="str">
        <x:v>Hold performance credit</x:v>
      </x:c>
      <x:c r="H12" s="54" t="str">
        <x:v>Open</x:v>
      </x:c>
    </x:row>
    <x:row r="13">
      <x:c r="A13" s="54"/>
      <x:c r="B13" s="54"/>
      <x:c r="C13" s="54"/>
      <x:c r="D13" s="54"/>
      <x:c r="E13" s="54"/>
      <x:c r="F13" s="54"/>
      <x:c r="G13" s="54"/>
      <x:c r="H13" s="54"/>
    </x:row>
    <x:row r="14">
      <x:c r="A14" s="54"/>
      <x:c r="B14" s="54"/>
      <x:c r="C14" s="54"/>
      <x:c r="D14" s="54"/>
      <x:c r="E14" s="54"/>
      <x:c r="F14" s="54"/>
      <x:c r="G14" s="54"/>
      <x:c r="H14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7" hidden="0" customWidth="1"/>
    <x:col min="8" max="8" width="16" hidden="0" customWidth="1"/>
    <x:col min="9" max="9" width="16" hidden="0" customWidth="1"/>
    <x:col min="10" max="10" width="23" hidden="0" customWidth="1"/>
    <x:col min="11" max="11" width="13" hidden="0" customWidth="1"/>
    <x:col min="12" max="12" width="14" hidden="0" customWidth="1"/>
    <x:col min="13" max="13" width="18" hidden="0" customWidth="1"/>
  </x:cols>
  <x:sheetData>
    <x:row r="1" ht="24" customHeight="1">
      <x:c r="A1" s="52" t="str">
        <x:v>Rapid Drainage Spine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28" customHeight="1">
      <x:c r="A2" s="38" t="str">
        <x:v>Pipe geometry, open-channel capacity and provisional material mass bound the conveyance system between pumps and receiving water.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</x:row>
    <x:row r="4">
      <x:c r="A4" s="40" t="str">
        <x:v>Path</x:v>
      </x:c>
      <x:c r="B4" s="41" t="str">
        <x:v>Count</x:v>
      </x:c>
      <x:c r="C4" s="41" t="str">
        <x:v>Diameter (m)</x:v>
      </x:c>
      <x:c r="D4" s="41" t="str">
        <x:v>Velocity (m/s)</x:v>
      </x:c>
      <x:c r="E4" s="41" t="str">
        <x:v>Flow/path (m³/s)</x:v>
      </x:c>
      <x:c r="F4" s="41" t="str">
        <x:v>Total flow (m³/s)</x:v>
      </x:c>
      <x:c r="G4" s="41" t="str">
        <x:v>Length/path (km)</x:v>
      </x:c>
      <x:c r="H4" s="41" t="str">
        <x:v>Mass (kg/m)</x:v>
      </x:c>
      <x:c r="I4" s="41" t="str">
        <x:v>Line mass (t)</x:v>
      </x:c>
      <x:c r="J4" s="41" t="str">
        <x:v>Install rate (km/front-day)</x:v>
      </x:c>
      <x:c r="K4" s="41" t="str">
        <x:v>Work fronts</x:v>
      </x:c>
      <x:c r="L4" s="41" t="str">
        <x:v>Setup days</x:v>
      </x:c>
      <x:c r="M4" s="42" t="str">
        <x:v>Evidence</x:v>
      </x:c>
    </x:row>
    <x:row r="5">
      <x:c r="A5" s="54" t="str">
        <x:v>0.61 m trunk</x:v>
      </x:c>
      <x:c r="B5" s="63" t="n">
        <x:f>'Controls'!$C$40</x:f>
        <x:v>8</x:v>
      </x:c>
      <x:c r="C5" s="55" t="n">
        <x:v>0.61</x:v>
      </x:c>
      <x:c r="D5" s="55" t="n">
        <x:v>3.42</x:v>
      </x:c>
      <x:c r="E5" s="63" t="n">
        <x:f>PI()*C5^2/4*D5</x:f>
        <x:v>0.9994835655726515</x:v>
      </x:c>
      <x:c r="F5" s="63" t="n">
        <x:f>B5*E5</x:f>
        <x:v>7.995868524581212</x:v>
      </x:c>
      <x:c r="G5" s="55" t="n">
        <x:v>3</x:v>
      </x:c>
      <x:c r="H5" s="55" t="n">
        <x:v>250</x:v>
      </x:c>
      <x:c r="I5" s="63" t="n">
        <x:f>B5*G5*1000*H5/1000</x:f>
        <x:v>6000</x:v>
      </x:c>
      <x:c r="J5" s="55" t="n">
        <x:v>0.4</x:v>
      </x:c>
      <x:c r="K5" s="55" t="n">
        <x:v>8</x:v>
      </x:c>
      <x:c r="L5" s="63" t="n">
        <x:f>IF(B5=0,0,G5/(J5*K5))</x:f>
        <x:v>0.9375</x:v>
      </x:c>
      <x:c r="M5" s="54" t="str">
        <x:v>Assumption</x:v>
      </x:c>
    </x:row>
    <x:row r="6">
      <x:c r="A6" s="54" t="str">
        <x:v>1.0 m trunk</x:v>
      </x:c>
      <x:c r="B6" s="63" t="n">
        <x:f>'Controls'!$C$41</x:f>
        <x:v>16</x:v>
      </x:c>
      <x:c r="C6" s="55" t="n">
        <x:v>1</x:v>
      </x:c>
      <x:c r="D6" s="55" t="n">
        <x:v>2</x:v>
      </x:c>
      <x:c r="E6" s="63" t="n">
        <x:f>PI()*C6^2/4*D6</x:f>
        <x:v>1.5707963267948966</x:v>
      </x:c>
      <x:c r="F6" s="63" t="n">
        <x:f>B6*E6</x:f>
        <x:v>25.132741228718345</x:v>
      </x:c>
      <x:c r="G6" s="55" t="n">
        <x:v>2</x:v>
      </x:c>
      <x:c r="H6" s="55" t="n">
        <x:v>450</x:v>
      </x:c>
      <x:c r="I6" s="63" t="n">
        <x:f>B6*G6*1000*H6/1000</x:f>
        <x:v>14400</x:v>
      </x:c>
      <x:c r="J6" s="55" t="n">
        <x:v>0.3</x:v>
      </x:c>
      <x:c r="K6" s="55" t="n">
        <x:v>8</x:v>
      </x:c>
      <x:c r="L6" s="63" t="n">
        <x:f>IF(B6=0,0,G6/(J6*K6))</x:f>
        <x:v>0.8333333333333334</x:v>
      </x:c>
      <x:c r="M6" s="54" t="str">
        <x:v>Assumption</x:v>
      </x:c>
    </x:row>
    <x:row r="7">
      <x:c r="A7" s="54" t="str">
        <x:v>2.0 m trunk</x:v>
      </x:c>
      <x:c r="B7" s="63" t="n">
        <x:f>'Controls'!$C$42</x:f>
        <x:v>8</x:v>
      </x:c>
      <x:c r="C7" s="55" t="n">
        <x:v>2</x:v>
      </x:c>
      <x:c r="D7" s="55" t="n">
        <x:v>2</x:v>
      </x:c>
      <x:c r="E7" s="63" t="n">
        <x:f>PI()*C7^2/4*D7</x:f>
        <x:v>6.283185307179586</x:v>
      </x:c>
      <x:c r="F7" s="63" t="n">
        <x:f>B7*E7</x:f>
        <x:v>50.26548245743669</x:v>
      </x:c>
      <x:c r="G7" s="55" t="n">
        <x:v>1</x:v>
      </x:c>
      <x:c r="H7" s="55" t="n">
        <x:v>900</x:v>
      </x:c>
      <x:c r="I7" s="63" t="n">
        <x:f>B7*G7*1000*H7/1000</x:f>
        <x:v>7200</x:v>
      </x:c>
      <x:c r="J7" s="55" t="n">
        <x:v>0.2</x:v>
      </x:c>
      <x:c r="K7" s="55" t="n">
        <x:v>8</x:v>
      </x:c>
      <x:c r="L7" s="63" t="n">
        <x:f>IF(B7=0,0,G7/(J7*K7))</x:f>
        <x:v>0.625</x:v>
      </x:c>
      <x:c r="M7" s="54" t="str">
        <x:v>Assumption</x:v>
      </x:c>
    </x:row>
    <x:row r="8">
      <x:c r="A8" s="54" t="str">
        <x:v>Cleared/open channel</x:v>
      </x:c>
      <x:c r="B8" s="54" t="n">
        <x:v>1</x:v>
      </x:c>
      <x:c r="C8" s="55" t="n">
        <x:v>0</x:v>
      </x:c>
      <x:c r="D8" s="55" t="n">
        <x:v>0</x:v>
      </x:c>
      <x:c r="E8" s="63" t="n">
        <x:f>'Controls'!$C$43</x:f>
        <x:v>30</x:v>
      </x:c>
      <x:c r="F8" s="63" t="n">
        <x:f>E8</x:f>
        <x:v>30</x:v>
      </x:c>
      <x:c r="G8" s="55" t="n">
        <x:v>0</x:v>
      </x:c>
      <x:c r="H8" s="55" t="n">
        <x:v>0</x:v>
      </x:c>
      <x:c r="I8" s="63" t="n">
        <x:v>0</x:v>
      </x:c>
      <x:c r="J8" s="55" t="n">
        <x:v>5</x:v>
      </x:c>
      <x:c r="K8" s="55" t="n">
        <x:v>6</x:v>
      </x:c>
      <x:c r="L8" s="63" t="n">
        <x:f>0</x:f>
        <x:v>0</x:v>
      </x:c>
      <x:c r="M8" s="54" t="str">
        <x:v>Scenario interface</x:v>
      </x:c>
    </x:row>
    <x:row r="9">
      <x:c r="A9" s="54"/>
      <x:c r="B9" s="54"/>
      <x:c r="C9" s="54"/>
      <x:c r="D9" s="54"/>
      <x:c r="E9" s="63"/>
      <x:c r="F9" s="63"/>
      <x:c r="G9" s="54"/>
      <x:c r="H9" s="54"/>
      <x:c r="I9" s="63"/>
      <x:c r="J9" s="54"/>
      <x:c r="K9" s="54"/>
      <x:c r="L9" s="63"/>
      <x:c r="M9" s="54"/>
    </x:row>
    <x:row r="10">
      <x:c r="A10" s="54" t="str">
        <x:v>Total</x:v>
      </x:c>
      <x:c r="B10" s="54" t="n">
        <x:f>SUM(B5:B7)</x:f>
        <x:v>32</x:v>
      </x:c>
      <x:c r="C10" s="54"/>
      <x:c r="D10" s="54"/>
      <x:c r="E10" s="63"/>
      <x:c r="F10" s="63" t="n">
        <x:f>SUM(F5:F8)</x:f>
        <x:v>113.39409221073625</x:v>
      </x:c>
      <x:c r="G10" s="54"/>
      <x:c r="H10" s="54"/>
      <x:c r="I10" s="63" t="n">
        <x:f>SUM(I5:I8)</x:f>
        <x:v>27600</x:v>
      </x:c>
      <x:c r="J10" s="54"/>
      <x:c r="K10" s="54"/>
      <x:c r="L10" s="63" t="n">
        <x:f>MAX(L5:L8)</x:f>
        <x:v>0.9375</x:v>
      </x:c>
      <x:c r="M10" s="54" t="str">
        <x:v>Configuration screen</x:v>
      </x:c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</x:row>
    <x:row r="13">
      <x:c r="A13" s="85" t="str">
        <x:v>Interpretation</x:v>
      </x:c>
      <x:c r="B13" s="85" t="str">
        <x:v>A 100 m³/s group requires many large parallel paths or usable channels. Mass excludes joints, valves, anchors, crossings, handling equipment and reserve until the deployment sheet adds allowances.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</x:row>
  </x:sheetData>
  <x:mergeCells>
    <x:mergeCell ref="A1:M1"/>
    <x:mergeCell ref="A2:M2"/>
    <x:mergeCell ref="B13:M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26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</x:cols>
  <x:sheetData>
    <x:row r="1" ht="24" customHeight="1">
      <x:c r="A1" s="52" t="str">
        <x:v>Receiving-water and discharge capacity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Pumping is limited by the safe receiving path, its stage window and environmental operating allowance.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Formula role</x:v>
      </x:c>
      <x:c r="E4" s="41" t="str">
        <x:v>Authority</x:v>
      </x:c>
      <x:c r="F4" s="41" t="str">
        <x:v>Monitoring</x:v>
      </x:c>
      <x:c r="G4" s="41" t="str">
        <x:v>Failure</x:v>
      </x:c>
      <x:c r="H4" s="42" t="str">
        <x:v>Evidence</x:v>
      </x:c>
    </x:row>
    <x:row r="5">
      <x:c r="A5" s="54" t="str">
        <x:v>Case receiving capacity</x:v>
      </x:c>
      <x:c r="B5" s="63" t="n">
        <x:f>'Flood Cases'!$C$22</x:f>
        <x:v>90</x:v>
      </x:c>
      <x:c r="C5" s="54" t="str">
        <x:v>m³/s</x:v>
      </x:c>
      <x:c r="D5" s="54" t="str">
        <x:v>Hydraulic receiving limit</x:v>
      </x:c>
      <x:c r="E5" s="54" t="str">
        <x:v>Civil and environmental</x:v>
      </x:c>
      <x:c r="F5" s="54" t="str">
        <x:v>Stage and flow</x:v>
      </x:c>
      <x:c r="G5" s="54" t="str">
        <x:v>Alternate path</x:v>
      </x:c>
      <x:c r="H5" s="54" t="str">
        <x:v>Assumption</x:v>
      </x:c>
    </x:row>
    <x:row r="6">
      <x:c r="A6" s="54" t="str">
        <x:v>Receiving availability</x:v>
      </x:c>
      <x:c r="B6" s="67" t="n">
        <x:f>'Flood Cases'!$C$23</x:f>
        <x:v>0.9</x:v>
      </x:c>
      <x:c r="C6" s="54" t="str">
        <x:v>fraction</x:v>
      </x:c>
      <x:c r="D6" s="54" t="str">
        <x:v>Tide/stage operating window</x:v>
      </x:c>
      <x:c r="E6" s="54" t="str">
        <x:v>Hydraulic authority</x:v>
      </x:c>
      <x:c r="F6" s="54" t="str">
        <x:v>Stage forecast</x:v>
      </x:c>
      <x:c r="G6" s="54" t="str">
        <x:v>Storage or alternate route</x:v>
      </x:c>
      <x:c r="H6" s="54" t="str">
        <x:v>Assumption</x:v>
      </x:c>
    </x:row>
    <x:row r="7">
      <x:c r="A7" s="54" t="str">
        <x:v>Environmental discharge factor</x:v>
      </x:c>
      <x:c r="B7" s="67" t="n">
        <x:f>'Controls'!$C$20</x:f>
        <x:v>0.95</x:v>
      </x:c>
      <x:c r="C7" s="54" t="str">
        <x:v>fraction</x:v>
      </x:c>
      <x:c r="D7" s="54" t="str">
        <x:v>Monitoring/control allowance</x:v>
      </x:c>
      <x:c r="E7" s="54" t="str">
        <x:v>Environmental authority</x:v>
      </x:c>
      <x:c r="F7" s="54" t="str">
        <x:v>Water quality</x:v>
      </x:c>
      <x:c r="G7" s="54" t="str">
        <x:v>Treat, contain or reduce</x:v>
      </x:c>
      <x:c r="H7" s="54" t="str">
        <x:v>Assumption</x:v>
      </x:c>
    </x:row>
    <x:row r="8">
      <x:c r="A8" s="54" t="str">
        <x:v>Available receiving capacity</x:v>
      </x:c>
      <x:c r="B8" s="63" t="n">
        <x:f>B5*B6*B7</x:f>
        <x:v>76.95</x:v>
      </x:c>
      <x:c r="C8" s="54" t="str">
        <x:v>m³/s</x:v>
      </x:c>
      <x:c r="D8" s="54" t="str">
        <x:v>Receiving bottleneck</x:v>
      </x:c>
      <x:c r="E8" s="54" t="str">
        <x:v>Joint authority</x:v>
      </x:c>
      <x:c r="F8" s="54" t="str">
        <x:v>Flow meters</x:v>
      </x:c>
      <x:c r="G8" s="54" t="str">
        <x:v>Rebalance</x:v>
      </x:c>
      <x:c r="H8" s="54" t="str">
        <x:v>Calculated</x:v>
      </x:c>
    </x:row>
    <x:row r="9">
      <x:c r="A9" s="54" t="str">
        <x:v>Drainage Spine capacity</x:v>
      </x:c>
      <x:c r="B9" s="63" t="n">
        <x:f>'Drainage Spine'!$F$10</x:f>
        <x:v>113.39409221073625</x:v>
      </x:c>
      <x:c r="C9" s="54" t="str">
        <x:v>m³/s</x:v>
      </x:c>
      <x:c r="D9" s="54" t="str">
        <x:v>Route bottleneck</x:v>
      </x:c>
      <x:c r="E9" s="54" t="str">
        <x:v>Technical authority</x:v>
      </x:c>
      <x:c r="F9" s="54" t="str">
        <x:v>Pressure and level</x:v>
      </x:c>
      <x:c r="G9" s="54" t="str">
        <x:v>Add path</x:v>
      </x:c>
      <x:c r="H9" s="54" t="str">
        <x:v>Calculated</x:v>
      </x:c>
    </x:row>
    <x:row r="10">
      <x:c r="A10" s="54" t="str">
        <x:v>Pump-family available flow</x:v>
      </x:c>
      <x:c r="B10" s="63" t="n">
        <x:f>'Pump Families'!$L$10</x:f>
        <x:v>36.551249999999996</x:v>
      </x:c>
      <x:c r="C10" s="54" t="str">
        <x:v>m³/s</x:v>
      </x:c>
      <x:c r="D10" s="54" t="str">
        <x:v>Pump/intake bottleneck</x:v>
      </x:c>
      <x:c r="E10" s="54" t="str">
        <x:v>Technical authority</x:v>
      </x:c>
      <x:c r="F10" s="54" t="str">
        <x:v>Flow and vibration</x:v>
      </x:c>
      <x:c r="G10" s="54" t="str">
        <x:v>Reconfigure</x:v>
      </x:c>
      <x:c r="H10" s="54" t="str">
        <x:v>Calculated</x:v>
      </x:c>
    </x:row>
    <x:row r="11">
      <x:c r="A11" s="54" t="str">
        <x:v>Available pump power</x:v>
      </x:c>
      <x:c r="B11" s="63" t="n">
        <x:f>'Controls'!$C$53</x:f>
        <x:v>30</x:v>
      </x:c>
      <x:c r="C11" s="54" t="str">
        <x:v>MW</x:v>
      </x:c>
      <x:c r="D11" s="54" t="str">
        <x:v>Source limit</x:v>
      </x:c>
      <x:c r="E11" s="54" t="str">
        <x:v>Electrical authority</x:v>
      </x:c>
      <x:c r="F11" s="54" t="str">
        <x:v>Power quality</x:v>
      </x:c>
      <x:c r="G11" s="54" t="str">
        <x:v>Shed or add source</x:v>
      </x:c>
      <x:c r="H11" s="54" t="str">
        <x:v>Selected package</x:v>
      </x:c>
    </x:row>
    <x:row r="12">
      <x:c r="A12" s="54" t="str">
        <x:v>Power-equivalent flow</x:v>
      </x:c>
      <x:c r="B12" s="63" t="n">
        <x:f>B11*1000000*'Controls'!$C$9/(1000*9.81*'Flood Cases'!$C$24)</x:f>
        <x:v>167.1763506625892</x:v>
      </x:c>
      <x:c r="C12" s="54" t="str">
        <x:v>m³/s</x:v>
      </x:c>
      <x:c r="D12" s="54" t="str">
        <x:v>Power-to-flow conversion</x:v>
      </x:c>
      <x:c r="E12" s="54" t="str">
        <x:v>Electrical authority</x:v>
      </x:c>
      <x:c r="F12" s="54" t="str">
        <x:v>MW and head</x:v>
      </x:c>
      <x:c r="G12" s="54" t="str">
        <x:v>Reduce flow</x:v>
      </x:c>
      <x:c r="H12" s="54" t="str">
        <x:v>Calculated</x:v>
      </x:c>
    </x:row>
    <x:row r="13">
      <x:c r="A13" s="54" t="str">
        <x:v>Effective group pumping</x:v>
      </x:c>
      <x:c r="B13" s="63" t="n">
        <x:f>MIN(B8:B10,B12)</x:f>
        <x:v>36.551249999999996</x:v>
      </x:c>
      <x:c r="C13" s="54" t="str">
        <x:v>m³/s</x:v>
      </x:c>
      <x:c r="D13" s="54" t="str">
        <x:v>Minimum shared capacity</x:v>
      </x:c>
      <x:c r="E13" s="54" t="str">
        <x:v>HCG commander</x:v>
      </x:c>
      <x:c r="F13" s="54" t="str">
        <x:v>All constraints</x:v>
      </x:c>
      <x:c r="G13" s="54" t="str">
        <x:v>Change system, not label</x:v>
      </x:c>
      <x:c r="H13" s="54" t="str">
        <x:v>Calculated</x:v>
      </x:c>
    </x:row>
    <x:row r="14">
      <x:c r="A14" s="54"/>
      <x:c r="B14" s="54"/>
      <x:c r="C14" s="54"/>
      <x:c r="D14" s="54"/>
      <x:c r="E14" s="54"/>
      <x:c r="F14" s="54"/>
      <x:c r="G14" s="54"/>
      <x:c r="H14" s="54"/>
    </x:row>
    <x:row r="15">
      <x:c r="A15" s="54"/>
      <x:c r="B15" s="54"/>
      <x:c r="C15" s="54"/>
      <x:c r="D15" s="54"/>
      <x:c r="E15" s="54"/>
      <x:c r="F15" s="54"/>
      <x:c r="G15" s="54"/>
      <x:c r="H15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7" hidden="0" customWidth="1"/>
    <x:col min="15" max="15" width="18" hidden="0" customWidth="1"/>
    <x:col min="16" max="16" width="15" hidden="0" customWidth="1"/>
  </x:cols>
  <x:sheetData>
    <x:row r="1" ht="24" customHeight="1">
      <x:c r="A1" s="52" t="str">
        <x:v>Barrier geometry, mass and hold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38" t="str">
        <x:v>Barrier length is constrained by the selected formation and case. Load, material, installation and hold differ by system.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</x:row>
    <x:row r="4">
      <x:c r="A4" s="40" t="str">
        <x:v>Barrier type</x:v>
      </x:c>
      <x:c r="B4" s="41" t="str">
        <x:v>Share</x:v>
      </x:c>
      <x:c r="C4" s="41" t="str">
        <x:v>Deployable length (km)</x:v>
      </x:c>
      <x:c r="D4" s="41" t="str">
        <x:v>Design height (m)</x:v>
      </x:c>
      <x:c r="E4" s="41" t="str">
        <x:v>Crest width (m)</x:v>
      </x:c>
      <x:c r="F4" s="41" t="str">
        <x:v>Side slope H:V</x:v>
      </x:c>
      <x:c r="G4" s="41" t="str">
        <x:v>Section area (m²)</x:v>
      </x:c>
      <x:c r="H4" s="41" t="str">
        <x:v>Material volume (m³)</x:v>
      </x:c>
      <x:c r="I4" s="41" t="str">
        <x:v>Bulk density (t/m³)</x:v>
      </x:c>
      <x:c r="J4" s="41" t="str">
        <x:v>Material mass (t)</x:v>
      </x:c>
      <x:c r="K4" s="41" t="str">
        <x:v>System mass (t/km)</x:v>
      </x:c>
      <x:c r="L4" s="41" t="str">
        <x:v>Non-earth mass (t)</x:v>
      </x:c>
      <x:c r="M4" s="41" t="str">
        <x:v>Hydrostatic force (kN/m)</x:v>
      </x:c>
      <x:c r="N4" s="41" t="str">
        <x:v>Hold probability</x:v>
      </x:c>
      <x:c r="O4" s="41" t="str">
        <x:v>Install rate (km/day)</x:v>
      </x:c>
      <x:c r="P4" s="42" t="str">
        <x:v>Install days</x:v>
      </x:c>
    </x:row>
    <x:row r="5">
      <x:c r="A5" s="54" t="str">
        <x:v>Earth fill</x:v>
      </x:c>
      <x:c r="B5" s="67" t="n">
        <x:f>'Flood Cases'!$C$37</x:f>
        <x:v>0.3</x:v>
      </x:c>
      <x:c r="C5" s="63" t="n">
        <x:f>MIN('Controls'!$C$44,'Flood Cases'!$C$36)*B5</x:f>
        <x:v>6</x:v>
      </x:c>
      <x:c r="D5" s="63" t="n">
        <x:f>'Flood Cases'!$C$28</x:f>
        <x:v>2</x:v>
      </x:c>
      <x:c r="E5" s="55" t="n">
        <x:v>3</x:v>
      </x:c>
      <x:c r="F5" s="55" t="n">
        <x:v>3</x:v>
      </x:c>
      <x:c r="G5" s="63" t="n">
        <x:f>D5*(E5+F5*D5)</x:f>
        <x:v>18</x:v>
      </x:c>
      <x:c r="H5" s="63" t="n">
        <x:f>C5*1000*G5</x:f>
        <x:v>108000</x:v>
      </x:c>
      <x:c r="I5" s="63" t="n">
        <x:v>2</x:v>
      </x:c>
      <x:c r="J5" s="63" t="n">
        <x:f>H5*I5</x:f>
        <x:v>216000</x:v>
      </x:c>
      <x:c r="K5" s="63" t="n">
        <x:v>0</x:v>
      </x:c>
      <x:c r="L5" s="63" t="n">
        <x:f>C5*K5</x:f>
        <x:v>0</x:v>
      </x:c>
      <x:c r="M5" s="63" t="n">
        <x:f>0.5*1000*9.81*D5^2/1000</x:f>
        <x:v>19.62</x:v>
      </x:c>
      <x:c r="N5" s="56" t="n">
        <x:v>0.97</x:v>
      </x:c>
      <x:c r="O5" s="55" t="n">
        <x:v>0.8</x:v>
      </x:c>
      <x:c r="P5" s="63" t="n">
        <x:f>IF(O5=0,0,C5/O5)</x:f>
        <x:v>7.5</x:v>
      </x:c>
    </x:row>
    <x:row r="6">
      <x:c r="A6" s="54" t="str">
        <x:v>Water-ballast</x:v>
      </x:c>
      <x:c r="B6" s="56" t="n">
        <x:v>0.25</x:v>
      </x:c>
      <x:c r="C6" s="63" t="n">
        <x:f>MIN('Controls'!$C$44,'Flood Cases'!$C$36)*B6</x:f>
        <x:v>5</x:v>
      </x:c>
      <x:c r="D6" s="63" t="n">
        <x:f>'Flood Cases'!$C$28</x:f>
        <x:v>2</x:v>
      </x:c>
      <x:c r="E6" s="54" t="n">
        <x:v>0</x:v>
      </x:c>
      <x:c r="F6" s="54" t="n">
        <x:v>0</x:v>
      </x:c>
      <x:c r="G6" s="63" t="n">
        <x:v>0</x:v>
      </x:c>
      <x:c r="H6" s="63" t="n">
        <x:v>0</x:v>
      </x:c>
      <x:c r="I6" s="63" t="n">
        <x:v>0</x:v>
      </x:c>
      <x:c r="J6" s="63" t="n">
        <x:v>0</x:v>
      </x:c>
      <x:c r="K6" s="63" t="n">
        <x:v>180</x:v>
      </x:c>
      <x:c r="L6" s="63" t="n">
        <x:f>C6*K6</x:f>
        <x:v>900</x:v>
      </x:c>
      <x:c r="M6" s="63" t="n">
        <x:f>0.5*1000*9.81*D6^2/1000</x:f>
        <x:v>19.62</x:v>
      </x:c>
      <x:c r="N6" s="56" t="n">
        <x:v>0.9</x:v>
      </x:c>
      <x:c r="O6" s="55" t="n">
        <x:v>2</x:v>
      </x:c>
      <x:c r="P6" s="63" t="n">
        <x:f>IF(O6=0,0,C6/O6)</x:f>
        <x:v>2.5</x:v>
      </x:c>
    </x:row>
    <x:row r="7">
      <x:c r="A7" s="54" t="str">
        <x:v>Structural panel</x:v>
      </x:c>
      <x:c r="B7" s="56" t="n">
        <x:v>0.25</x:v>
      </x:c>
      <x:c r="C7" s="63" t="n">
        <x:f>MIN('Controls'!$C$44,'Flood Cases'!$C$36)*B7</x:f>
        <x:v>5</x:v>
      </x:c>
      <x:c r="D7" s="63" t="n">
        <x:f>'Flood Cases'!$C$28</x:f>
        <x:v>2</x:v>
      </x:c>
      <x:c r="E7" s="54" t="n">
        <x:v>0</x:v>
      </x:c>
      <x:c r="F7" s="54" t="n">
        <x:v>0</x:v>
      </x:c>
      <x:c r="G7" s="63" t="n">
        <x:v>0</x:v>
      </x:c>
      <x:c r="H7" s="63" t="n">
        <x:v>0</x:v>
      </x:c>
      <x:c r="I7" s="63" t="n">
        <x:v>0</x:v>
      </x:c>
      <x:c r="J7" s="63" t="n">
        <x:v>0</x:v>
      </x:c>
      <x:c r="K7" s="63" t="n">
        <x:v>320</x:v>
      </x:c>
      <x:c r="L7" s="63" t="n">
        <x:f>C7*K7</x:f>
        <x:v>1600</x:v>
      </x:c>
      <x:c r="M7" s="63" t="n">
        <x:f>0.5*1000*9.81*D7^2/1000</x:f>
        <x:v>19.62</x:v>
      </x:c>
      <x:c r="N7" s="56" t="n">
        <x:v>0.93</x:v>
      </x:c>
      <x:c r="O7" s="55" t="n">
        <x:v>1</x:v>
      </x:c>
      <x:c r="P7" s="63" t="n">
        <x:f>IF(O7=0,0,C7/O7)</x:f>
        <x:v>5</x:v>
      </x:c>
    </x:row>
    <x:row r="8">
      <x:c r="A8" s="54" t="str">
        <x:v>Tension membrane</x:v>
      </x:c>
      <x:c r="B8" s="67" t="n">
        <x:f>MAX(0,1-SUM(B5:B7))</x:f>
        <x:v>0.19999999999999996</x:v>
      </x:c>
      <x:c r="C8" s="63" t="n">
        <x:f>MIN('Controls'!$C$44,'Flood Cases'!$C$36)*B8</x:f>
        <x:v>3.999999999999999</x:v>
      </x:c>
      <x:c r="D8" s="63" t="n">
        <x:f>'Flood Cases'!$C$28</x:f>
        <x:v>2</x:v>
      </x:c>
      <x:c r="E8" s="54" t="n">
        <x:v>0</x:v>
      </x:c>
      <x:c r="F8" s="54" t="n">
        <x:v>0</x:v>
      </x:c>
      <x:c r="G8" s="63" t="n">
        <x:v>0</x:v>
      </x:c>
      <x:c r="H8" s="63" t="n">
        <x:v>0</x:v>
      </x:c>
      <x:c r="I8" s="63" t="n">
        <x:v>0</x:v>
      </x:c>
      <x:c r="J8" s="63" t="n">
        <x:v>0</x:v>
      </x:c>
      <x:c r="K8" s="63" t="n">
        <x:v>120</x:v>
      </x:c>
      <x:c r="L8" s="63" t="n">
        <x:f>C8*K8</x:f>
        <x:v>479.9999999999999</x:v>
      </x:c>
      <x:c r="M8" s="63" t="n">
        <x:f>0.5*1000*9.81*D8^2/1000</x:f>
        <x:v>19.62</x:v>
      </x:c>
      <x:c r="N8" s="56" t="n">
        <x:v>0.85</x:v>
      </x:c>
      <x:c r="O8" s="55" t="n">
        <x:v>2.5</x:v>
      </x:c>
      <x:c r="P8" s="63" t="n">
        <x:f>IF(O8=0,0,C8/O8)</x:f>
        <x:v>1.5999999999999996</x:v>
      </x:c>
    </x:row>
    <x:row r="9">
      <x:c r="A9" s="54"/>
      <x:c r="B9" s="67"/>
      <x:c r="C9" s="63"/>
      <x:c r="D9" s="63"/>
      <x:c r="E9" s="54"/>
      <x:c r="F9" s="54"/>
      <x:c r="G9" s="63"/>
      <x:c r="H9" s="63"/>
      <x:c r="I9" s="63"/>
      <x:c r="J9" s="63"/>
      <x:c r="K9" s="63"/>
      <x:c r="L9" s="63"/>
      <x:c r="M9" s="63"/>
      <x:c r="N9" s="88"/>
      <x:c r="O9" s="54"/>
      <x:c r="P9" s="63"/>
    </x:row>
    <x:row r="10">
      <x:c r="A10" s="54" t="str">
        <x:v>Total</x:v>
      </x:c>
      <x:c r="B10" s="67" t="n">
        <x:f>SUM(B5:B8)</x:f>
        <x:v>1</x:v>
      </x:c>
      <x:c r="C10" s="63" t="n">
        <x:f>SUM(C5:C8)</x:f>
        <x:v>20</x:v>
      </x:c>
      <x:c r="D10" s="63"/>
      <x:c r="E10" s="54"/>
      <x:c r="F10" s="54"/>
      <x:c r="G10" s="63"/>
      <x:c r="H10" s="63" t="n">
        <x:f>SUM(H5:H8)</x:f>
        <x:v>108000</x:v>
      </x:c>
      <x:c r="I10" s="63"/>
      <x:c r="J10" s="63" t="n">
        <x:f>SUM(J5:J8)</x:f>
        <x:v>216000</x:v>
      </x:c>
      <x:c r="K10" s="63"/>
      <x:c r="L10" s="63" t="n">
        <x:f>SUM(L5:L8)</x:f>
        <x:v>2980</x:v>
      </x:c>
      <x:c r="M10" s="63"/>
      <x:c r="N10" s="88" t="n">
        <x:f>SUMPRODUCT(C5:C8,N5:N8)/MAX(0.0001,C10)</x:f>
        <x:v>0.9185000000000001</x:v>
      </x:c>
      <x:c r="O10" s="54"/>
      <x:c r="P10" s="63" t="n">
        <x:f>MAX(P5:P8)</x:f>
        <x:v>7.5</x:v>
      </x:c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</x:row>
  </x:sheetData>
  <x:mergeCells>
    <x:mergeCell ref="A1:P1"/>
    <x:mergeCell ref="A2:P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24" hidden="0" customWidth="1"/>
    <x:col min="5" max="5" width="18" hidden="0" customWidth="1"/>
    <x:col min="6" max="6" width="25" hidden="0" customWidth="1"/>
    <x:col min="7" max="7" width="28" hidden="0" customWidth="1"/>
  </x:cols>
  <x:sheetData>
    <x:row r="1" ht="24" customHeight="1">
      <x:c r="A1" s="52" t="str">
        <x:v>Interior drainage behind barriers</x:v>
      </x:c>
      <x:c r="B1" s="53"/>
      <x:c r="C1" s="53"/>
      <x:c r="D1" s="53"/>
      <x:c r="E1" s="53"/>
      <x:c r="F1" s="53"/>
      <x:c r="G1" s="53"/>
    </x:row>
    <x:row r="2" ht="28" customHeight="1">
      <x:c r="A2" s="38" t="str">
        <x:v>Exclusion can trap rainfall, sewer flow and seepage. The protected side requires its own pump allocation.</x:v>
      </x:c>
      <x:c r="B2" s="38"/>
      <x:c r="C2" s="38"/>
      <x:c r="D2" s="38"/>
      <x:c r="E2" s="38"/>
      <x:c r="F2" s="38"/>
      <x:c r="G2" s="38"/>
    </x:row>
    <x:row r="3">
      <x:c r="A3" s="54"/>
      <x:c r="B3" s="54"/>
      <x:c r="C3" s="54"/>
      <x:c r="D3" s="54"/>
      <x:c r="E3" s="54"/>
      <x:c r="F3" s="54"/>
      <x:c r="G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Formula role</x:v>
      </x:c>
      <x:c r="E4" s="41" t="str">
        <x:v>State</x:v>
      </x:c>
      <x:c r="F4" s="41" t="str">
        <x:v>Risk</x:v>
      </x:c>
      <x:c r="G4" s="42" t="str">
        <x:v>Next evidence</x:v>
      </x:c>
    </x:row>
    <x:row r="5">
      <x:c r="A5" s="54" t="str">
        <x:v>Protected area</x:v>
      </x:c>
      <x:c r="B5" s="63" t="n">
        <x:f>'Flood Cases'!$C$33</x:f>
        <x:v>30</x:v>
      </x:c>
      <x:c r="C5" s="54" t="str">
        <x:v>km²</x:v>
      </x:c>
      <x:c r="D5" s="54" t="str">
        <x:v>Case input</x:v>
      </x:c>
      <x:c r="E5" s="54" t="str">
        <x:v>Selected</x:v>
      </x:c>
      <x:c r="F5" s="54" t="str"/>
      <x:c r="G5" s="54" t="str">
        <x:v>Surveyed area</x:v>
      </x:c>
    </x:row>
    <x:row r="6">
      <x:c r="A6" s="54" t="str">
        <x:v>Rainfall</x:v>
      </x:c>
      <x:c r="B6" s="63" t="n">
        <x:f>'Flood Cases'!$C$34</x:f>
        <x:v>50</x:v>
      </x:c>
      <x:c r="C6" s="54" t="str">
        <x:v>mm/day</x:v>
      </x:c>
      <x:c r="D6" s="54" t="str">
        <x:v>Case input</x:v>
      </x:c>
      <x:c r="E6" s="54" t="str">
        <x:v>Selected</x:v>
      </x:c>
      <x:c r="F6" s="54" t="str"/>
      <x:c r="G6" s="54" t="str">
        <x:v>Rain ensemble</x:v>
      </x:c>
    </x:row>
    <x:row r="7">
      <x:c r="A7" s="54" t="str">
        <x:v>Rainfall runoff coefficient</x:v>
      </x:c>
      <x:c r="B7" s="56" t="n">
        <x:f>0.8</x:f>
        <x:v>0.8</x:v>
      </x:c>
      <x:c r="C7" s="54" t="str">
        <x:v>fraction</x:v>
      </x:c>
      <x:c r="D7" s="54" t="str">
        <x:v>Editable</x:v>
      </x:c>
      <x:c r="E7" s="54" t="str">
        <x:v>Assumption</x:v>
      </x:c>
      <x:c r="F7" s="54" t="str">
        <x:v>Runoff varies</x:v>
      </x:c>
      <x:c r="G7" s="54" t="str">
        <x:v>Catchment model</x:v>
      </x:c>
    </x:row>
    <x:row r="8">
      <x:c r="A8" s="54" t="str">
        <x:v>Rain inflow</x:v>
      </x:c>
      <x:c r="B8" s="63" t="n">
        <x:f>B5*1000000*(B6/1000)*B7/86400</x:f>
        <x:v>13.88888888888889</x:v>
      </x:c>
      <x:c r="C8" s="54" t="str">
        <x:v>m³/s</x:v>
      </x:c>
      <x:c r="D8" s="54" t="str">
        <x:v>Area × rain × runoff</x:v>
      </x:c>
      <x:c r="E8" s="54" t="str">
        <x:v>Calculated</x:v>
      </x:c>
      <x:c r="F8" s="54" t="str">
        <x:v>Spatial concentration</x:v>
      </x:c>
      <x:c r="G8" s="54" t="str">
        <x:v>Drainage model</x:v>
      </x:c>
    </x:row>
    <x:row r="9">
      <x:c r="A9" s="54" t="str">
        <x:v>Sewer inflow</x:v>
      </x:c>
      <x:c r="B9" s="63" t="n">
        <x:f>'Flood Cases'!$C$35</x:f>
        <x:v>5</x:v>
      </x:c>
      <x:c r="C9" s="54" t="str">
        <x:v>m³/s</x:v>
      </x:c>
      <x:c r="D9" s="54" t="str">
        <x:v>Case input</x:v>
      </x:c>
      <x:c r="E9" s="54" t="str">
        <x:v>Selected</x:v>
      </x:c>
      <x:c r="F9" s="54" t="str">
        <x:v>Backflow</x:v>
      </x:c>
      <x:c r="G9" s="54" t="str">
        <x:v>Sewer model</x:v>
      </x:c>
    </x:row>
    <x:row r="10">
      <x:c r="A10" s="54" t="str">
        <x:v>Barrier leakage</x:v>
      </x:c>
      <x:c r="B10" s="63" t="n">
        <x:f>'Barrier Geometry Loads'!$C$10*0.03</x:f>
        <x:v>0.6</x:v>
      </x:c>
      <x:c r="C10" s="54" t="str">
        <x:v>m³/s</x:v>
      </x:c>
      <x:c r="D10" s="54" t="str">
        <x:v>Length screen</x:v>
      </x:c>
      <x:c r="E10" s="54" t="str">
        <x:v>Assumption</x:v>
      </x:c>
      <x:c r="F10" s="54" t="str">
        <x:v>Foundation/seals</x:v>
      </x:c>
      <x:c r="G10" s="54" t="str">
        <x:v>Wet test</x:v>
      </x:c>
    </x:row>
    <x:row r="11">
      <x:c r="A11" s="54" t="str">
        <x:v>Total interior inflow</x:v>
      </x:c>
      <x:c r="B11" s="63" t="n">
        <x:f>SUM(B8:B10)</x:f>
        <x:v>19.48888888888889</x:v>
      </x:c>
      <x:c r="C11" s="54" t="str">
        <x:v>m³/s</x:v>
      </x:c>
      <x:c r="D11" s="54" t="str">
        <x:v>Combined inflow</x:v>
      </x:c>
      <x:c r="E11" s="54" t="str">
        <x:v>Calculated</x:v>
      </x:c>
      <x:c r="F11" s="54" t="str">
        <x:v>Peak exceeds average</x:v>
      </x:c>
      <x:c r="G11" s="54" t="str">
        <x:v>Time series</x:v>
      </x:c>
    </x:row>
    <x:row r="12">
      <x:c r="A12" s="54" t="str">
        <x:v>Allocated interior pumping</x:v>
      </x:c>
      <x:c r="B12" s="63" t="n">
        <x:f>'Receiving Discharge'!$B$13*0.15</x:f>
        <x:v>5.482687499999999</x:v>
      </x:c>
      <x:c r="C12" s="54" t="str">
        <x:v>m³/s</x:v>
      </x:c>
      <x:c r="D12" s="54" t="str">
        <x:v>15% group flow</x:v>
      </x:c>
      <x:c r="E12" s="54" t="str">
        <x:v>Design allocation</x:v>
      </x:c>
      <x:c r="F12" s="54" t="str">
        <x:v>Competes with dewatering</x:v>
      </x:c>
      <x:c r="G12" s="54" t="str">
        <x:v>Mission optimization</x:v>
      </x:c>
    </x:row>
    <x:row r="13">
      <x:c r="A13" s="54" t="str">
        <x:v>Interior drainage margin</x:v>
      </x:c>
      <x:c r="B13" s="63" t="n">
        <x:f>B12-B11</x:f>
        <x:v>-14.006201388888892</x:v>
      </x:c>
      <x:c r="C13" s="54" t="str">
        <x:v>m³/s</x:v>
      </x:c>
      <x:c r="D13" s="54" t="str">
        <x:v>Positive is spare</x:v>
      </x:c>
      <x:c r="E13" s="54" t="str">
        <x:v>Calculated</x:v>
      </x:c>
      <x:c r="F13" s="54" t="str">
        <x:v>Negative floods protected side</x:v>
      </x:c>
      <x:c r="G13" s="54" t="str">
        <x:v>Complete-thread test</x:v>
      </x:c>
    </x:row>
    <x:row r="14">
      <x:c r="A14" s="54"/>
      <x:c r="B14" s="54"/>
      <x:c r="C14" s="54"/>
      <x:c r="D14" s="54"/>
      <x:c r="E14" s="54"/>
      <x:c r="F14" s="54"/>
      <x:c r="G14" s="54"/>
    </x:row>
    <x:row r="15">
      <x:c r="A15" s="54"/>
      <x:c r="B15" s="54"/>
      <x:c r="C15" s="54"/>
      <x:c r="D15" s="54"/>
      <x:c r="E15" s="54"/>
      <x:c r="F15" s="54"/>
      <x:c r="G15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22" hidden="0" customWidth="1"/>
    <x:col min="4" max="4" width="25" hidden="0" customWidth="1"/>
    <x:col min="5" max="5" width="20" hidden="0" customWidth="1"/>
    <x:col min="6" max="6" width="20" hidden="0" customWidth="1"/>
    <x:col min="7" max="7" width="27" hidden="0" customWidth="1"/>
    <x:col min="8" max="8" width="18" hidden="0" customWidth="1"/>
  </x:cols>
  <x:sheetData>
    <x:row r="1" ht="24" customHeight="1">
      <x:c r="A1" s="52" t="str">
        <x:v>Breach flow and arrest screen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A breach can exceed the pump group. The model separates initial flow, arrest time, residual flow and closure material.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Formula role</x:v>
      </x:c>
      <x:c r="E4" s="41" t="str">
        <x:v>Operational phase</x:v>
      </x:c>
      <x:c r="F4" s="41" t="str">
        <x:v>Authority</x:v>
      </x:c>
      <x:c r="G4" s="41" t="str">
        <x:v>Limit</x:v>
      </x:c>
      <x:c r="H4" s="42" t="str">
        <x:v>Evidence</x:v>
      </x:c>
    </x:row>
    <x:row r="5">
      <x:c r="A5" s="54" t="str">
        <x:v>Breach width</x:v>
      </x:c>
      <x:c r="B5" s="63" t="n">
        <x:f>'Flood Cases'!$C$29</x:f>
        <x:v>0</x:v>
      </x:c>
      <x:c r="C5" s="54" t="str">
        <x:v>m</x:v>
      </x:c>
      <x:c r="D5" s="54" t="str">
        <x:v>Case input</x:v>
      </x:c>
      <x:c r="E5" s="54" t="str">
        <x:v>Observe</x:v>
      </x:c>
      <x:c r="F5" s="54" t="str">
        <x:v>Civil/geotechnical</x:v>
      </x:c>
      <x:c r="G5" s="54" t="str">
        <x:v>Simplified width</x:v>
      </x:c>
      <x:c r="H5" s="54" t="str">
        <x:v>Assumption</x:v>
      </x:c>
    </x:row>
    <x:row r="6">
      <x:c r="A6" s="54" t="str">
        <x:v>Differential head</x:v>
      </x:c>
      <x:c r="B6" s="63" t="n">
        <x:f>'Flood Cases'!$C$30</x:f>
        <x:v>0</x:v>
      </x:c>
      <x:c r="C6" s="54" t="str">
        <x:v>m</x:v>
      </x:c>
      <x:c r="D6" s="54" t="str">
        <x:v>Case input</x:v>
      </x:c>
      <x:c r="E6" s="54" t="str">
        <x:v>Observe</x:v>
      </x:c>
      <x:c r="F6" s="54" t="str">
        <x:v>Civil/geotechnical</x:v>
      </x:c>
      <x:c r="G6" s="54" t="str">
        <x:v>Dynamic head</x:v>
      </x:c>
      <x:c r="H6" s="54" t="str">
        <x:v>Assumption</x:v>
      </x:c>
    </x:row>
    <x:row r="7">
      <x:c r="A7" s="54" t="str">
        <x:v>Discharge coefficient</x:v>
      </x:c>
      <x:c r="B7" s="63" t="n">
        <x:f>'Flood Cases'!$C$31</x:f>
        <x:v>0</x:v>
      </x:c>
      <x:c r="C7" s="54" t="str">
        <x:v>ratio</x:v>
      </x:c>
      <x:c r="D7" s="54" t="str">
        <x:v>Case input</x:v>
      </x:c>
      <x:c r="E7" s="54" t="str">
        <x:v>Screen</x:v>
      </x:c>
      <x:c r="F7" s="54" t="str">
        <x:v>Technical</x:v>
      </x:c>
      <x:c r="G7" s="54" t="str">
        <x:v>Not calibrated</x:v>
      </x:c>
      <x:c r="H7" s="54" t="str">
        <x:v>Assumption</x:v>
      </x:c>
    </x:row>
    <x:row r="8">
      <x:c r="A8" s="54" t="str">
        <x:v>Initial breach flow</x:v>
      </x:c>
      <x:c r="B8" s="63" t="n">
        <x:f>IF(B5=0,0,B7*B5*SQRT(2*9.81)*B6^1.5)</x:f>
        <x:v>0</x:v>
      </x:c>
      <x:c r="C8" s="54" t="str">
        <x:v>m³/s</x:v>
      </x:c>
      <x:c r="D8" s="54" t="str">
        <x:v>Cd b sqrt(2g) h^1.5</x:v>
      </x:c>
      <x:c r="E8" s="54" t="str">
        <x:v>Evacuate/arrest</x:v>
      </x:c>
      <x:c r="F8" s="54" t="str">
        <x:v>Civil command</x:v>
      </x:c>
      <x:c r="G8" s="54" t="str">
        <x:v>Not breach-growth model</x:v>
      </x:c>
      <x:c r="H8" s="54" t="str">
        <x:v>Calculated</x:v>
      </x:c>
    </x:row>
    <x:row r="9">
      <x:c r="A9" s="54" t="str">
        <x:v>Formation arrest time</x:v>
      </x:c>
      <x:c r="B9" s="63" t="n">
        <x:f>IF('Controls'!$C$5="FIN Regional Cell",8,IF('Controls'!$C$5="Inland HCG-100",6,8))</x:f>
        <x:v>6</x:v>
      </x:c>
      <x:c r="C9" s="54" t="str">
        <x:v>hours</x:v>
      </x:c>
      <x:c r="D9" s="54" t="str">
        <x:v>Formation posture</x:v>
      </x:c>
      <x:c r="E9" s="54" t="str">
        <x:v>Arrest</x:v>
      </x:c>
      <x:c r="F9" s="54" t="str">
        <x:v>Technical</x:v>
      </x:c>
      <x:c r="G9" s="54" t="str">
        <x:v>No access model</x:v>
      </x:c>
      <x:c r="H9" s="54" t="str">
        <x:v>Assumption</x:v>
      </x:c>
    </x:row>
    <x:row r="10">
      <x:c r="A10" s="54" t="str">
        <x:v>Residual-flow fraction</x:v>
      </x:c>
      <x:c r="B10" s="56" t="n">
        <x:f>0.25</x:f>
        <x:v>0.25</x:v>
      </x:c>
      <x:c r="C10" s="54" t="str">
        <x:v>fraction</x:v>
      </x:c>
      <x:c r="D10" s="54" t="str">
        <x:v>Editable</x:v>
      </x:c>
      <x:c r="E10" s="54" t="str">
        <x:v>Post-arrest</x:v>
      </x:c>
      <x:c r="F10" s="54" t="str">
        <x:v>Technical</x:v>
      </x:c>
      <x:c r="G10" s="54" t="str">
        <x:v>Requires destructive test</x:v>
      </x:c>
      <x:c r="H10" s="54" t="str">
        <x:v>Assumption</x:v>
      </x:c>
    </x:row>
    <x:row r="11">
      <x:c r="A11" s="54" t="str">
        <x:v>Residual breach flow</x:v>
      </x:c>
      <x:c r="B11" s="63" t="n">
        <x:f>B8*B10</x:f>
        <x:v>0</x:v>
      </x:c>
      <x:c r="C11" s="54" t="str">
        <x:v>m³/s</x:v>
      </x:c>
      <x:c r="D11" s="54" t="str">
        <x:v>Initial × residual</x:v>
      </x:c>
      <x:c r="E11" s="54" t="str">
        <x:v>Close/armor</x:v>
      </x:c>
      <x:c r="F11" s="54" t="str">
        <x:v>Technical</x:v>
      </x:c>
      <x:c r="G11" s="54" t="str">
        <x:v>Time varying omitted</x:v>
      </x:c>
      <x:c r="H11" s="54" t="str">
        <x:v>Calculated</x:v>
      </x:c>
    </x:row>
    <x:row r="12">
      <x:c r="A12" s="54" t="str">
        <x:v>Closure material intensity</x:v>
      </x:c>
      <x:c r="B12" s="55" t="n">
        <x:f>500</x:f>
        <x:v>500</x:v>
      </x:c>
      <x:c r="C12" s="54" t="str">
        <x:v>t per m-width-m-head</x:v>
      </x:c>
      <x:c r="D12" s="54" t="str">
        <x:v>Editable</x:v>
      </x:c>
      <x:c r="E12" s="54" t="str">
        <x:v>Material planning</x:v>
      </x:c>
      <x:c r="F12" s="54" t="str">
        <x:v>Geotechnical</x:v>
      </x:c>
      <x:c r="G12" s="54" t="str">
        <x:v>Filters/armor omitted</x:v>
      </x:c>
      <x:c r="H12" s="54" t="str">
        <x:v>Assumption</x:v>
      </x:c>
    </x:row>
    <x:row r="13">
      <x:c r="A13" s="54" t="str">
        <x:v>Closure material</x:v>
      </x:c>
      <x:c r="B13" s="63" t="n">
        <x:f>B5*B6*B12</x:f>
        <x:v>0</x:v>
      </x:c>
      <x:c r="C13" s="54" t="str">
        <x:v>t</x:v>
      </x:c>
      <x:c r="D13" s="54" t="str">
        <x:v>Geometry × intensity</x:v>
      </x:c>
      <x:c r="E13" s="54" t="str">
        <x:v>Logistics</x:v>
      </x:c>
      <x:c r="F13" s="54" t="str">
        <x:v>Geotechnical</x:v>
      </x:c>
      <x:c r="G13" s="54" t="str">
        <x:v>Provisional</x:v>
      </x:c>
      <x:c r="H13" s="54" t="str">
        <x:v>Calculated</x:v>
      </x:c>
    </x:row>
    <x:row r="14">
      <x:c r="A14" s="54" t="str">
        <x:v>Initial flow / effective pump</x:v>
      </x:c>
      <x:c r="B14" s="63" t="n">
        <x:f>IF('Receiving Discharge'!$B$13=0,0,B8/'Receiving Discharge'!$B$13)</x:f>
        <x:v>0</x:v>
      </x:c>
      <x:c r="C14" s="54" t="str">
        <x:v>ratio</x:v>
      </x:c>
      <x:c r="D14" s="54" t="str">
        <x:v>Scale comparison</x:v>
      </x:c>
      <x:c r="E14" s="54" t="str">
        <x:v>Sequence decision</x:v>
      </x:c>
      <x:c r="F14" s="54" t="str">
        <x:v>Command</x:v>
      </x:c>
      <x:c r="G14" s="54" t="str">
        <x:v>Not full coupled model</x:v>
      </x:c>
      <x:c r="H14" s="54" t="str">
        <x:v>Calculated</x:v>
      </x:c>
    </x:row>
    <x:row r="15">
      <x:c r="A15" s="54" t="str">
        <x:v>Breach state</x:v>
      </x:c>
      <x:c r="B15" s="63" t="str">
        <x:f>IF(B8=0,"No breach in case",IF(B14&gt;1,"Breach exceeds pump","Pump exceeds breach"))</x:f>
        <x:v>No breach in case</x:v>
      </x:c>
      <x:c r="C15" s="54" t="str">
        <x:v>text</x:v>
      </x:c>
      <x:c r="D15" s="54" t="str">
        <x:v>Comparison</x:v>
      </x:c>
      <x:c r="E15" s="54" t="str">
        <x:v>Decision aid</x:v>
      </x:c>
      <x:c r="F15" s="54" t="str">
        <x:v>Command</x:v>
      </x:c>
      <x:c r="G15" s="54" t="str">
        <x:v>No forecast</x:v>
      </x:c>
      <x:c r="H15" s="54" t="str">
        <x:v>Calculated</x:v>
      </x:c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54"/>
      <x:c r="B17" s="54"/>
      <x:c r="C17" s="54"/>
      <x:c r="D17" s="54"/>
      <x:c r="E17" s="54"/>
      <x:c r="F17" s="54"/>
      <x:c r="G17" s="54"/>
      <x:c r="H17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6" hidden="0" customWidth="1"/>
    <x:col min="4" max="4" width="21" hidden="0" customWidth="1"/>
    <x:col min="5" max="5" width="16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24" hidden="0" customWidth="1"/>
  </x:cols>
  <x:sheetData>
    <x:row r="1" ht="24" customHeight="1">
      <x:c r="A1" s="52" t="str">
        <x:v>Rescue demand and search state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Stranded population is divided into search, medical, accessibility and animal-support demand. Shares are explicit assumptions.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Demand class</x:v>
      </x:c>
      <x:c r="B4" s="41" t="str">
        <x:v>Share</x:v>
      </x:c>
      <x:c r="C4" s="41" t="str">
        <x:v>People</x:v>
      </x:c>
      <x:c r="D4" s="41" t="str">
        <x:v>Search time (min/person)</x:v>
      </x:c>
      <x:c r="E4" s="41" t="str">
        <x:v>Medical share</x:v>
      </x:c>
      <x:c r="F4" s="41" t="str">
        <x:v>Accessible-lift share</x:v>
      </x:c>
      <x:c r="G4" s="41" t="str">
        <x:v>Priority</x:v>
      </x:c>
      <x:c r="H4" s="41" t="str">
        <x:v>Search team-hours</x:v>
      </x:c>
      <x:c r="I4" s="41" t="str">
        <x:v>Evidence</x:v>
      </x:c>
      <x:c r="J4" s="42" t="str">
        <x:v>Limit</x:v>
      </x:c>
    </x:row>
    <x:row r="5">
      <x:c r="A5" s="54" t="str">
        <x:v>Known occupied locations</x:v>
      </x:c>
      <x:c r="B5" s="56" t="n">
        <x:v>0.35</x:v>
      </x:c>
      <x:c r="C5" s="63" t="n">
        <x:f>'Flood Cases'!$C$32*B5</x:f>
        <x:v>14000</x:v>
      </x:c>
      <x:c r="D5" s="55" t="n">
        <x:v>12</x:v>
      </x:c>
      <x:c r="E5" s="56" t="n">
        <x:v>0.1</x:v>
      </x:c>
      <x:c r="F5" s="56" t="n">
        <x:v>0.15</x:v>
      </x:c>
      <x:c r="G5" s="55" t="n">
        <x:v>5</x:v>
      </x:c>
      <x:c r="H5" s="63" t="n">
        <x:f>C5*D5/60</x:f>
        <x:v>2800</x:v>
      </x:c>
      <x:c r="I5" s="54" t="str">
        <x:v>Assumption</x:v>
      </x:c>
      <x:c r="J5" s="54" t="str">
        <x:v>Registry quality</x:v>
      </x:c>
    </x:row>
    <x:row r="6">
      <x:c r="A6" s="54" t="str">
        <x:v>Door-to-door search</x:v>
      </x:c>
      <x:c r="B6" s="56" t="n">
        <x:v>0.3</x:v>
      </x:c>
      <x:c r="C6" s="63" t="n">
        <x:f>'Flood Cases'!$C$32*B6</x:f>
        <x:v>12000</x:v>
      </x:c>
      <x:c r="D6" s="55" t="n">
        <x:v>20</x:v>
      </x:c>
      <x:c r="E6" s="56" t="n">
        <x:v>0.08</x:v>
      </x:c>
      <x:c r="F6" s="56" t="n">
        <x:v>0.2</x:v>
      </x:c>
      <x:c r="G6" s="55" t="n">
        <x:v>4</x:v>
      </x:c>
      <x:c r="H6" s="63" t="n">
        <x:f>C6*D6/60</x:f>
        <x:v>4000</x:v>
      </x:c>
      <x:c r="I6" s="54" t="str">
        <x:v>Assumption</x:v>
      </x:c>
      <x:c r="J6" s="54" t="str">
        <x:v>Building access</x:v>
      </x:c>
    </x:row>
    <x:row r="7">
      <x:c r="A7" s="54" t="str">
        <x:v>Self-reported distress</x:v>
      </x:c>
      <x:c r="B7" s="56" t="n">
        <x:v>0.2</x:v>
      </x:c>
      <x:c r="C7" s="63" t="n">
        <x:f>'Flood Cases'!$C$32*B7</x:f>
        <x:v>8000</x:v>
      </x:c>
      <x:c r="D7" s="55" t="n">
        <x:v>10</x:v>
      </x:c>
      <x:c r="E7" s="56" t="n">
        <x:v>0.15</x:v>
      </x:c>
      <x:c r="F7" s="56" t="n">
        <x:v>0.25</x:v>
      </x:c>
      <x:c r="G7" s="55" t="n">
        <x:v>5</x:v>
      </x:c>
      <x:c r="H7" s="63" t="n">
        <x:f>C7*D7/60</x:f>
        <x:v>1333.3333333333333</x:v>
      </x:c>
      <x:c r="I7" s="54" t="str">
        <x:v>Assumption</x:v>
      </x:c>
      <x:c r="J7" s="54" t="str">
        <x:v>Communications</x:v>
      </x:c>
    </x:row>
    <x:row r="8">
      <x:c r="A8" s="54" t="str">
        <x:v>Institutional facilities</x:v>
      </x:c>
      <x:c r="B8" s="56" t="n">
        <x:v>0.1</x:v>
      </x:c>
      <x:c r="C8" s="63" t="n">
        <x:f>'Flood Cases'!$C$32*B8</x:f>
        <x:v>4000</x:v>
      </x:c>
      <x:c r="D8" s="55" t="n">
        <x:v>30</x:v>
      </x:c>
      <x:c r="E8" s="56" t="n">
        <x:v>0.4</x:v>
      </x:c>
      <x:c r="F8" s="56" t="n">
        <x:v>0.6</x:v>
      </x:c>
      <x:c r="G8" s="55" t="n">
        <x:v>5</x:v>
      </x:c>
      <x:c r="H8" s="63" t="n">
        <x:f>C8*D8/60</x:f>
        <x:v>2000</x:v>
      </x:c>
      <x:c r="I8" s="54" t="str">
        <x:v>Assumption</x:v>
      </x:c>
      <x:c r="J8" s="54" t="str">
        <x:v>Patient acuity</x:v>
      </x:c>
    </x:row>
    <x:row r="9">
      <x:c r="A9" s="54" t="str">
        <x:v>Animal/family support</x:v>
      </x:c>
      <x:c r="B9" s="56" t="n">
        <x:v>0.05</x:v>
      </x:c>
      <x:c r="C9" s="63" t="n">
        <x:f>'Flood Cases'!$C$32*B9</x:f>
        <x:v>2000</x:v>
      </x:c>
      <x:c r="D9" s="55" t="n">
        <x:v>15</x:v>
      </x:c>
      <x:c r="E9" s="56" t="n">
        <x:v>0.05</x:v>
      </x:c>
      <x:c r="F9" s="56" t="n">
        <x:v>0.1</x:v>
      </x:c>
      <x:c r="G9" s="55" t="n">
        <x:v>2</x:v>
      </x:c>
      <x:c r="H9" s="63" t="n">
        <x:f>C9*D9/60</x:f>
        <x:v>500</x:v>
      </x:c>
      <x:c r="I9" s="54" t="str">
        <x:v>Assumption</x:v>
      </x:c>
      <x:c r="J9" s="54" t="str">
        <x:v>Payload and behavior</x:v>
      </x:c>
    </x:row>
    <x:row r="10">
      <x:c r="A10" s="54"/>
      <x:c r="B10" s="88"/>
      <x:c r="C10" s="63"/>
      <x:c r="D10" s="54"/>
      <x:c r="E10" s="54"/>
      <x:c r="F10" s="54"/>
      <x:c r="G10" s="54"/>
      <x:c r="H10" s="63"/>
      <x:c r="I10" s="54"/>
      <x:c r="J10" s="54"/>
    </x:row>
    <x:row r="11">
      <x:c r="A11" s="54" t="str">
        <x:v>Total</x:v>
      </x:c>
      <x:c r="B11" s="88" t="n">
        <x:f>SUM(B5:B9)</x:f>
        <x:v>0.9999999999999999</x:v>
      </x:c>
      <x:c r="C11" s="63" t="n">
        <x:f>SUM(C5:C9)</x:f>
        <x:v>40000</x:v>
      </x:c>
      <x:c r="D11" s="54"/>
      <x:c r="E11" s="54"/>
      <x:c r="F11" s="54"/>
      <x:c r="G11" s="54"/>
      <x:c r="H11" s="63" t="n">
        <x:f>SUM(H5:H9)</x:f>
        <x:v>10633.333333333332</x:v>
      </x:c>
      <x:c r="I11" s="54" t="str"/>
      <x:c r="J11" s="54" t="str">
        <x:v>Demand screen</x:v>
      </x:c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7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5" hidden="0" customWidth="1"/>
    <x:col min="13" max="13" width="15" hidden="0" customWidth="1"/>
    <x:col min="14" max="14" width="17" hidden="0" customWidth="1"/>
  </x:cols>
  <x:sheetData>
    <x:row r="1" ht="24" customHeight="1">
      <x:c r="A1" s="52" t="str">
        <x:v>Amphibious rescue mission cycles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38" t="str">
        <x:v>Five platform classes are credited only for the selected water regime, mission cycle, operating hours and availability.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40" t="str">
        <x:v>Class</x:v>
      </x:c>
      <x:c r="B4" s="41" t="str">
        <x:v>Quantity</x:v>
      </x:c>
      <x:c r="C4" s="41" t="str">
        <x:v>People/mission</x:v>
      </x:c>
      <x:c r="D4" s="41" t="str">
        <x:v>Cargo/mission (t)</x:v>
      </x:c>
      <x:c r="E4" s="41" t="str">
        <x:v>Cycle (min)</x:v>
      </x:c>
      <x:c r="F4" s="41" t="str">
        <x:v>Hours/day</x:v>
      </x:c>
      <x:c r="G4" s="41" t="str">
        <x:v>Availability</x:v>
      </x:c>
      <x:c r="H4" s="41" t="str">
        <x:v>Case suitability</x:v>
      </x:c>
      <x:c r="I4" s="41" t="str">
        <x:v>Missions/day</x:v>
      </x:c>
      <x:c r="J4" s="41" t="str">
        <x:v>People/day</x:v>
      </x:c>
      <x:c r="K4" s="41" t="str">
        <x:v>Cargo/day (t)</x:v>
      </x:c>
      <x:c r="L4" s="41" t="str">
        <x:v>Crew/vehicle</x:v>
      </x:c>
      <x:c r="M4" s="41" t="str">
        <x:v>Unit mass (t)</x:v>
      </x:c>
      <x:c r="N4" s="42" t="str">
        <x:v>Acquisition ($M)</x:v>
      </x:c>
    </x:row>
    <x:row r="5">
      <x:c r="A5" s="54" t="str">
        <x:v>Shallow urban craft</x:v>
      </x:c>
      <x:c r="B5" s="63" t="n">
        <x:f>'Controls'!$C$45</x:f>
        <x:v>24</x:v>
      </x:c>
      <x:c r="C5" s="55" t="n">
        <x:v>10</x:v>
      </x:c>
      <x:c r="D5" s="55" t="n">
        <x:v>1</x:v>
      </x:c>
      <x:c r="E5" s="55" t="n">
        <x:v>45</x:v>
      </x:c>
      <x:c r="F5" s="55" t="n">
        <x:v>16</x:v>
      </x:c>
      <x:c r="G5" s="56" t="n">
        <x:v>0.85</x:v>
      </x:c>
      <x:c r="H5" s="67" t="n">
        <x:f>INDEX('Flood Cases'!$U$5:$Y$9,MATCH('Controls'!$C$6,'Flood Cases'!$A$5:$A$9,0),1)</x:f>
        <x:v>1</x:v>
      </x:c>
      <x:c r="I5" s="63" t="n">
        <x:f>B5*FLOOR(F5*60/E5,1)*G5*H5</x:f>
        <x:v>428.4</x:v>
      </x:c>
      <x:c r="J5" s="63" t="n">
        <x:f>I5*C5</x:f>
        <x:v>4284</x:v>
      </x:c>
      <x:c r="K5" s="63" t="n">
        <x:f>I5*D5</x:f>
        <x:v>428.4</x:v>
      </x:c>
      <x:c r="L5" s="55" t="n">
        <x:v>3</x:v>
      </x:c>
      <x:c r="M5" s="55" t="n">
        <x:v>4</x:v>
      </x:c>
      <x:c r="N5" s="55" t="n">
        <x:v>3</x:v>
      </x:c>
    </x:row>
    <x:row r="6">
      <x:c r="A6" s="54" t="str">
        <x:v>Swiftwater rescue craft</x:v>
      </x:c>
      <x:c r="B6" s="63" t="n">
        <x:f>'Controls'!$C$46</x:f>
        <x:v>20</x:v>
      </x:c>
      <x:c r="C6" s="55" t="n">
        <x:v>8</x:v>
      </x:c>
      <x:c r="D6" s="55" t="n">
        <x:v>0.5</x:v>
      </x:c>
      <x:c r="E6" s="55" t="n">
        <x:v>60</x:v>
      </x:c>
      <x:c r="F6" s="55" t="n">
        <x:v>16</x:v>
      </x:c>
      <x:c r="G6" s="56" t="n">
        <x:v>0.8</x:v>
      </x:c>
      <x:c r="H6" s="67" t="n">
        <x:f>INDEX('Flood Cases'!$U$5:$Y$9,MATCH('Controls'!$C$6,'Flood Cases'!$A$5:$A$9,0),2)</x:f>
        <x:v>0.4</x:v>
      </x:c>
      <x:c r="I6" s="63" t="n">
        <x:f>B6*FLOOR(F6*60/E6,1)*G6*H6</x:f>
        <x:v>102.4</x:v>
      </x:c>
      <x:c r="J6" s="63" t="n">
        <x:f>I6*C6</x:f>
        <x:v>819.2</x:v>
      </x:c>
      <x:c r="K6" s="63" t="n">
        <x:f>I6*D6</x:f>
        <x:v>51.2</x:v>
      </x:c>
      <x:c r="L6" s="55" t="n">
        <x:v>4</x:v>
      </x:c>
      <x:c r="M6" s="55" t="n">
        <x:v>6</x:v>
      </x:c>
      <x:c r="N6" s="55" t="n">
        <x:v>5</x:v>
      </x:c>
    </x:row>
    <x:row r="7">
      <x:c r="A7" s="54" t="str">
        <x:v>High-water land carrier</x:v>
      </x:c>
      <x:c r="B7" s="63" t="n">
        <x:f>'Controls'!$C$47</x:f>
        <x:v>40</x:v>
      </x:c>
      <x:c r="C7" s="55" t="n">
        <x:v>20</x:v>
      </x:c>
      <x:c r="D7" s="55" t="n">
        <x:v>3</x:v>
      </x:c>
      <x:c r="E7" s="55" t="n">
        <x:v>90</x:v>
      </x:c>
      <x:c r="F7" s="55" t="n">
        <x:v>18</x:v>
      </x:c>
      <x:c r="G7" s="56" t="n">
        <x:v>0.85</x:v>
      </x:c>
      <x:c r="H7" s="67" t="n">
        <x:f>INDEX('Flood Cases'!$U$5:$Y$9,MATCH('Controls'!$C$6,'Flood Cases'!$A$5:$A$9,0),3)</x:f>
        <x:v>1</x:v>
      </x:c>
      <x:c r="I7" s="63" t="n">
        <x:f>B7*FLOOR(F7*60/E7,1)*G7*H7</x:f>
        <x:v>408</x:v>
      </x:c>
      <x:c r="J7" s="63" t="n">
        <x:f>I7*C7</x:f>
        <x:v>8160</x:v>
      </x:c>
      <x:c r="K7" s="63" t="n">
        <x:f>I7*D7</x:f>
        <x:v>1224</x:v>
      </x:c>
      <x:c r="L7" s="55" t="n">
        <x:v>2</x:v>
      </x:c>
      <x:c r="M7" s="55" t="n">
        <x:v>18</x:v>
      </x:c>
      <x:c r="N7" s="55" t="n">
        <x:v>9</x:v>
      </x:c>
    </x:row>
    <x:row r="8">
      <x:c r="A8" s="54" t="str">
        <x:v>Heavy amphibious logistics</x:v>
      </x:c>
      <x:c r="B8" s="63" t="n">
        <x:f>'Controls'!$C$48</x:f>
        <x:v>12</x:v>
      </x:c>
      <x:c r="C8" s="55" t="n">
        <x:v>50</x:v>
      </x:c>
      <x:c r="D8" s="55" t="n">
        <x:v>20</x:v>
      </x:c>
      <x:c r="E8" s="55" t="n">
        <x:v>150</x:v>
      </x:c>
      <x:c r="F8" s="55" t="n">
        <x:v>18</x:v>
      </x:c>
      <x:c r="G8" s="56" t="n">
        <x:v>0.75</x:v>
      </x:c>
      <x:c r="H8" s="67" t="n">
        <x:f>INDEX('Flood Cases'!$U$5:$Y$9,MATCH('Controls'!$C$6,'Flood Cases'!$A$5:$A$9,0),4)</x:f>
        <x:v>0.6</x:v>
      </x:c>
      <x:c r="I8" s="63" t="n">
        <x:f>B8*FLOOR(F8*60/E8,1)*G8*H8</x:f>
        <x:v>37.8</x:v>
      </x:c>
      <x:c r="J8" s="63" t="n">
        <x:f>I8*C8</x:f>
        <x:v>1889.9999999999998</x:v>
      </x:c>
      <x:c r="K8" s="63" t="n">
        <x:f>I8*D8</x:f>
        <x:v>756</x:v>
      </x:c>
      <x:c r="L8" s="55" t="n">
        <x:v>4</x:v>
      </x:c>
      <x:c r="M8" s="55" t="n">
        <x:v>80</x:v>
      </x:c>
      <x:c r="N8" s="55" t="n">
        <x:v>35</x:v>
      </x:c>
    </x:row>
    <x:row r="9">
      <x:c r="A9" s="54" t="str">
        <x:v>Coastal/surf craft</x:v>
      </x:c>
      <x:c r="B9" s="63" t="n">
        <x:f>'Controls'!$C$49</x:f>
        <x:v>4</x:v>
      </x:c>
      <x:c r="C9" s="55" t="n">
        <x:v>30</x:v>
      </x:c>
      <x:c r="D9" s="55" t="n">
        <x:v>8</x:v>
      </x:c>
      <x:c r="E9" s="55" t="n">
        <x:v>120</x:v>
      </x:c>
      <x:c r="F9" s="55" t="n">
        <x:v>18</x:v>
      </x:c>
      <x:c r="G9" s="56" t="n">
        <x:v>0.75</x:v>
      </x:c>
      <x:c r="H9" s="67" t="n">
        <x:f>INDEX('Flood Cases'!$U$5:$Y$9,MATCH('Controls'!$C$6,'Flood Cases'!$A$5:$A$9,0),5)</x:f>
        <x:v>0.2</x:v>
      </x:c>
      <x:c r="I9" s="63" t="n">
        <x:f>B9*FLOOR(F9*60/E9,1)*G9*H9</x:f>
        <x:v>5.4</x:v>
      </x:c>
      <x:c r="J9" s="63" t="n">
        <x:f>I9*C9</x:f>
        <x:v>162</x:v>
      </x:c>
      <x:c r="K9" s="63" t="n">
        <x:f>I9*D9</x:f>
        <x:v>43.2</x:v>
      </x:c>
      <x:c r="L9" s="55" t="n">
        <x:v>5</x:v>
      </x:c>
      <x:c r="M9" s="55" t="n">
        <x:v>30</x:v>
      </x:c>
      <x:c r="N9" s="55" t="n">
        <x:v>18</x:v>
      </x:c>
    </x:row>
    <x:row r="10">
      <x:c r="A10" s="54"/>
      <x:c r="B10" s="63"/>
      <x:c r="C10" s="54"/>
      <x:c r="D10" s="54"/>
      <x:c r="E10" s="54"/>
      <x:c r="F10" s="54"/>
      <x:c r="G10" s="54"/>
      <x:c r="H10" s="63"/>
      <x:c r="I10" s="63"/>
      <x:c r="J10" s="63"/>
      <x:c r="K10" s="63"/>
      <x:c r="L10" s="54"/>
      <x:c r="M10" s="54"/>
      <x:c r="N10" s="54"/>
    </x:row>
    <x:row r="11">
      <x:c r="A11" s="54" t="str">
        <x:v>Total</x:v>
      </x:c>
      <x:c r="B11" s="63" t="n">
        <x:f>SUM(B5:B9)</x:f>
        <x:v>100</x:v>
      </x:c>
      <x:c r="C11" s="54"/>
      <x:c r="D11" s="54"/>
      <x:c r="E11" s="54"/>
      <x:c r="F11" s="54"/>
      <x:c r="G11" s="54"/>
      <x:c r="H11" s="63"/>
      <x:c r="I11" s="63"/>
      <x:c r="J11" s="63" t="n">
        <x:f>SUM(J5:J9)</x:f>
        <x:v>15315.2</x:v>
      </x:c>
      <x:c r="K11" s="63" t="n">
        <x:f>SUM(K5:K9)</x:f>
        <x:v>2502.7999999999997</x:v>
      </x:c>
      <x:c r="L11" s="54"/>
      <x:c r="M11" s="63" t="n">
        <x:f>SUMPRODUCT(B5:B9,M5:M9)</x:f>
        <x:v>2016</x:v>
      </x:c>
      <x:c r="N11" s="63" t="n">
        <x:f>SUMPRODUCT(B5:B9,N5:N9)</x:f>
        <x:v>1024</x:v>
      </x:c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</x:row>
    <x:row r="14">
      <x:c r="A14" s="60" t="str">
        <x:v>Rescue result</x:v>
      </x:c>
      <x:c r="B14" s="61"/>
      <x:c r="C14" s="61"/>
      <x:c r="D14" s="61"/>
      <x:c r="E14" s="61"/>
      <x:c r="F14" s="62"/>
      <x:c r="G14" s="54"/>
      <x:c r="H14" s="54"/>
      <x:c r="I14" s="54"/>
      <x:c r="J14" s="54"/>
      <x:c r="K14" s="54"/>
      <x:c r="L14" s="54"/>
      <x:c r="M14" s="54"/>
      <x:c r="N14" s="54"/>
    </x:row>
    <x:row r="15">
      <x:c r="A15" s="40" t="str">
        <x:v>Measure</x:v>
      </x:c>
      <x:c r="B15" s="41" t="str">
        <x:v>Value</x:v>
      </x:c>
      <x:c r="C15" s="41" t="str">
        <x:v>Unit</x:v>
      </x:c>
      <x:c r="D15" s="41" t="str">
        <x:v>Rule</x:v>
      </x:c>
      <x:c r="E15" s="41" t="str">
        <x:v>Interpretation</x:v>
      </x:c>
      <x:c r="F15" s="42" t="str">
        <x:v>Limit</x:v>
      </x:c>
      <x:c r="G15" s="54"/>
      <x:c r="H15" s="54"/>
      <x:c r="I15" s="54"/>
      <x:c r="J15" s="54"/>
      <x:c r="K15" s="54"/>
      <x:c r="L15" s="54"/>
      <x:c r="M15" s="54"/>
      <x:c r="N15" s="54"/>
    </x:row>
    <x:row r="16">
      <x:c r="A16" s="54" t="str">
        <x:v>Stranded people</x:v>
      </x:c>
      <x:c r="B16" s="63" t="n">
        <x:f>'Flood Cases'!$C$32</x:f>
        <x:v>40000</x:v>
      </x:c>
      <x:c r="C16" s="54" t="str">
        <x:v>people</x:v>
      </x:c>
      <x:c r="D16" s="54" t="str">
        <x:v>Case demand</x:v>
      </x:c>
      <x:c r="E16" s="54" t="str">
        <x:v>Initial screen</x:v>
      </x:c>
      <x:c r="F16" s="54" t="str"/>
      <x:c r="G16" s="54"/>
      <x:c r="H16" s="54"/>
      <x:c r="I16" s="54"/>
      <x:c r="J16" s="54"/>
      <x:c r="K16" s="54"/>
      <x:c r="L16" s="54"/>
      <x:c r="M16" s="54"/>
      <x:c r="N16" s="54"/>
    </x:row>
    <x:row r="17">
      <x:c r="A17" s="54" t="str">
        <x:v>People moved per day</x:v>
      </x:c>
      <x:c r="B17" s="63" t="n">
        <x:f>J11</x:f>
        <x:v>15315.2</x:v>
      </x:c>
      <x:c r="C17" s="54" t="str">
        <x:v>people/day</x:v>
      </x:c>
      <x:c r="D17" s="54" t="str">
        <x:v>Cycle output</x:v>
      </x:c>
      <x:c r="E17" s="54" t="str">
        <x:v>All classes</x:v>
      </x:c>
      <x:c r="F17" s="54" t="str"/>
      <x:c r="G17" s="54"/>
      <x:c r="H17" s="54"/>
      <x:c r="I17" s="54"/>
      <x:c r="J17" s="54"/>
      <x:c r="K17" s="54"/>
      <x:c r="L17" s="54"/>
      <x:c r="M17" s="54"/>
      <x:c r="N17" s="54"/>
    </x:row>
    <x:row r="18">
      <x:c r="A18" s="54" t="str">
        <x:v>Rescue clearance days</x:v>
      </x:c>
      <x:c r="B18" s="63" t="n">
        <x:f>IF(B17=0,"",B16/B17)</x:f>
        <x:v>2.611784371082323</x:v>
      </x:c>
      <x:c r="C18" s="54" t="str">
        <x:v>days</x:v>
      </x:c>
      <x:c r="D18" s="54" t="str">
        <x:v>Demand/output</x:v>
      </x:c>
      <x:c r="E18" s="54" t="str">
        <x:v>No search bottleneck</x:v>
      </x:c>
      <x:c r="F18" s="54" t="str"/>
      <x:c r="G18" s="54"/>
      <x:c r="H18" s="54"/>
      <x:c r="I18" s="54"/>
      <x:c r="J18" s="54"/>
      <x:c r="K18" s="54"/>
      <x:c r="L18" s="54"/>
      <x:c r="M18" s="54"/>
      <x:c r="N18" s="54"/>
    </x:row>
    <x:row r="19">
      <x:c r="A19" s="54" t="str">
        <x:v>Patient-capable daily places</x:v>
      </x:c>
      <x:c r="B19" s="63" t="n">
        <x:f>B17*0.15</x:f>
        <x:v>2297.28</x:v>
      </x:c>
      <x:c r="C19" s="54" t="str">
        <x:v>places/day</x:v>
      </x:c>
      <x:c r="D19" s="54" t="str">
        <x:v>15% screen</x:v>
      </x:c>
      <x:c r="E19" s="54" t="str">
        <x:v>Not acuity model</x:v>
      </x:c>
      <x:c r="F19" s="54" t="str">
        <x:v>Assumption</x:v>
      </x:c>
      <x:c r="G19" s="54"/>
      <x:c r="H19" s="54"/>
      <x:c r="I19" s="54"/>
      <x:c r="J19" s="54"/>
      <x:c r="K19" s="54"/>
      <x:c r="L19" s="54"/>
      <x:c r="M19" s="54"/>
      <x:c r="N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</x:row>
  </x:sheetData>
  <x:mergeCells>
    <x:mergeCell ref="A1:N1"/>
    <x:mergeCell ref="A2:N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5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24" customHeight="1">
      <x:c r="A1" s="52" t="str">
        <x:v>Wet-gap access and logistics throughput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Rescue and cargo capacity are connected to water classes, route opening and shore interfaces.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Source</x:v>
      </x:c>
      <x:c r="E4" s="41" t="str">
        <x:v>Use</x:v>
      </x:c>
      <x:c r="F4" s="41" t="str">
        <x:v>Constraint</x:v>
      </x:c>
      <x:c r="G4" s="41" t="str">
        <x:v>Failure response</x:v>
      </x:c>
      <x:c r="H4" s="42" t="str">
        <x:v>Evidence</x:v>
      </x:c>
    </x:row>
    <x:row r="5">
      <x:c r="A5" s="54" t="str">
        <x:v>Amphibious cargo/day</x:v>
      </x:c>
      <x:c r="B5" s="63" t="n">
        <x:f>'Amphibious Cycles'!$K$11</x:f>
        <x:v>2502.7999999999997</x:v>
      </x:c>
      <x:c r="C5" s="54" t="str">
        <x:v>t/day</x:v>
      </x:c>
      <x:c r="D5" s="54" t="str">
        <x:v>Craft cycles</x:v>
      </x:c>
      <x:c r="E5" s="54" t="str">
        <x:v>Wet gap</x:v>
      </x:c>
      <x:c r="F5" s="54" t="str">
        <x:v>Shore interface</x:v>
      </x:c>
      <x:c r="G5" s="54" t="str">
        <x:v>Add route</x:v>
      </x:c>
      <x:c r="H5" s="54" t="str">
        <x:v>Calculated</x:v>
      </x:c>
    </x:row>
    <x:row r="6">
      <x:c r="A6" s="54" t="str">
        <x:v>Road high-water cargo/day</x:v>
      </x:c>
      <x:c r="B6" s="63" t="n">
        <x:f>'Controls'!$C$47*60</x:f>
        <x:v>2400</x:v>
      </x:c>
      <x:c r="C6" s="54" t="str">
        <x:v>t/day</x:v>
      </x:c>
      <x:c r="D6" s="54" t="str">
        <x:v>Vehicle screen</x:v>
      </x:c>
      <x:c r="E6" s="54" t="str">
        <x:v>Road water</x:v>
      </x:c>
      <x:c r="F6" s="54" t="str">
        <x:v>Bearing/obstacles</x:v>
      </x:c>
      <x:c r="G6" s="54" t="str">
        <x:v>Inspect</x:v>
      </x:c>
      <x:c r="H6" s="54" t="str">
        <x:v>Assumption</x:v>
      </x:c>
    </x:row>
    <x:row r="7">
      <x:c r="A7" s="54" t="str">
        <x:v>River/barge cargo/day</x:v>
      </x:c>
      <x:c r="B7" s="63" t="n">
        <x:f>IF('Controls'!$C$5="FIN Regional Cell",0,IF('Controls'!$C$5="Inland HCG-100",2000,4000))</x:f>
        <x:v>2000</x:v>
      </x:c>
      <x:c r="C7" s="54" t="str">
        <x:v>t/day</x:v>
      </x:c>
      <x:c r="D7" s="54" t="str">
        <x:v>Formation case</x:v>
      </x:c>
      <x:c r="E7" s="54" t="str">
        <x:v>River/coast</x:v>
      </x:c>
      <x:c r="F7" s="54" t="str">
        <x:v>Port/lock</x:v>
      </x:c>
      <x:c r="G7" s="54" t="str">
        <x:v>Alternate mode</x:v>
      </x:c>
      <x:c r="H7" s="54" t="str">
        <x:v>Assumption</x:v>
      </x:c>
    </x:row>
    <x:row r="8">
      <x:c r="A8" s="54" t="str">
        <x:v>Total wet-gap cargo/day</x:v>
      </x:c>
      <x:c r="B8" s="63" t="n">
        <x:f>SUM(B5:B7)</x:f>
        <x:v>6902.799999999999</x:v>
      </x:c>
      <x:c r="C8" s="54" t="str">
        <x:v>t/day</x:v>
      </x:c>
      <x:c r="D8" s="54" t="str">
        <x:v>Sum</x:v>
      </x:c>
      <x:c r="E8" s="54" t="str">
        <x:v>Campaign</x:v>
      </x:c>
      <x:c r="F8" s="54" t="str">
        <x:v>All modes</x:v>
      </x:c>
      <x:c r="G8" s="54" t="str">
        <x:v>Rebalance</x:v>
      </x:c>
      <x:c r="H8" s="54" t="str">
        <x:v>Calculated</x:v>
      </x:c>
    </x:row>
    <x:row r="9">
      <x:c r="A9" s="54" t="str">
        <x:v>Required priority cargo/day</x:v>
      </x:c>
      <x:c r="B9" s="63" t="n">
        <x:f>'Flood Cases'!$C$15*100</x:f>
        <x:v>5000</x:v>
      </x:c>
      <x:c r="C9" s="54" t="str">
        <x:v>t/day</x:v>
      </x:c>
      <x:c r="D9" s="54" t="str">
        <x:v>Area intensity</x:v>
      </x:c>
      <x:c r="E9" s="54" t="str">
        <x:v>Demand</x:v>
      </x:c>
      <x:c r="F9" s="54" t="str">
        <x:v>Case-dependent</x:v>
      </x:c>
      <x:c r="G9" s="54" t="str">
        <x:v>Prioritize</x:v>
      </x:c>
      <x:c r="H9" s="54" t="str">
        <x:v>Assumption</x:v>
      </x:c>
    </x:row>
    <x:row r="10">
      <x:c r="A10" s="54" t="str">
        <x:v>Cargo margin</x:v>
      </x:c>
      <x:c r="B10" s="63" t="n">
        <x:f>B8-B9</x:f>
        <x:v>1902.7999999999993</x:v>
      </x:c>
      <x:c r="C10" s="54" t="str">
        <x:v>t/day</x:v>
      </x:c>
      <x:c r="D10" s="54" t="str">
        <x:v>Throughput minus demand</x:v>
      </x:c>
      <x:c r="E10" s="54" t="str">
        <x:v>Decision</x:v>
      </x:c>
      <x:c r="F10" s="54" t="str">
        <x:v>Could hide mix</x:v>
      </x:c>
      <x:c r="G10" s="54" t="str">
        <x:v>Change fleet</x:v>
      </x:c>
      <x:c r="H10" s="54" t="str">
        <x:v>Calculated</x:v>
      </x:c>
    </x:row>
    <x:row r="11">
      <x:c r="A11" s="54" t="str">
        <x:v>People moved/day</x:v>
      </x:c>
      <x:c r="B11" s="63" t="n">
        <x:f>'Amphibious Cycles'!$J$11</x:f>
        <x:v>15315.2</x:v>
      </x:c>
      <x:c r="C11" s="54" t="str">
        <x:v>people/day</x:v>
      </x:c>
      <x:c r="D11" s="54" t="str">
        <x:v>Craft cycles</x:v>
      </x:c>
      <x:c r="E11" s="54" t="str">
        <x:v>Life safety</x:v>
      </x:c>
      <x:c r="F11" s="54" t="str">
        <x:v>Search/patient</x:v>
      </x:c>
      <x:c r="G11" s="54" t="str">
        <x:v>Add teams</x:v>
      </x:c>
      <x:c r="H11" s="54" t="str">
        <x:v>Calculated</x:v>
      </x:c>
    </x:row>
    <x:row r="12">
      <x:c r="A12" s="54" t="str">
        <x:v>Route survey teams</x:v>
      </x:c>
      <x:c r="B12" s="63" t="n">
        <x:f>'Controls'!$C$52</x:f>
        <x:v>16</x:v>
      </x:c>
      <x:c r="C12" s="54" t="str">
        <x:v>teams</x:v>
      </x:c>
      <x:c r="D12" s="54" t="str">
        <x:v>Selected formation</x:v>
      </x:c>
      <x:c r="E12" s="54" t="str">
        <x:v>Survey</x:v>
      </x:c>
      <x:c r="F12" s="54" t="str">
        <x:v>Coverage</x:v>
      </x:c>
      <x:c r="G12" s="54" t="str">
        <x:v>Increase teams</x:v>
      </x:c>
      <x:c r="H12" s="54" t="str">
        <x:v>Package</x:v>
      </x:c>
    </x:row>
    <x:row r="13">
      <x:c r="A13" s="54" t="str">
        <x:v>Access state</x:v>
      </x:c>
      <x:c r="B13" s="63" t="str">
        <x:f>IF(B10&gt;=0,"Meets cargo screen","Cargo shortfall")</x:f>
        <x:v>Meets cargo screen</x:v>
      </x:c>
      <x:c r="C13" s="54" t="str">
        <x:v>text</x:v>
      </x:c>
      <x:c r="D13" s="54" t="str">
        <x:v>Rule</x:v>
      </x:c>
      <x:c r="E13" s="54" t="str">
        <x:v>Decision</x:v>
      </x:c>
      <x:c r="F13" s="54" t="str">
        <x:v>No network model</x:v>
      </x:c>
      <x:c r="G13" s="54" t="str">
        <x:v>Model routes</x:v>
      </x:c>
      <x:c r="H13" s="54" t="str">
        <x:v>Calculated</x:v>
      </x:c>
    </x:row>
    <x:row r="14">
      <x:c r="A14" s="54"/>
      <x:c r="B14" s="54"/>
      <x:c r="C14" s="54"/>
      <x:c r="D14" s="54"/>
      <x:c r="E14" s="54"/>
      <x:c r="F14" s="54"/>
      <x:c r="G14" s="54"/>
      <x:c r="H14" s="54"/>
    </x:row>
    <x:row r="15">
      <x:c r="A15" s="54"/>
      <x:c r="B15" s="54"/>
      <x:c r="C15" s="54"/>
      <x:c r="D15" s="54"/>
      <x:c r="E15" s="54"/>
      <x:c r="F15" s="54"/>
      <x:c r="G15" s="54"/>
      <x:c r="H15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23" hidden="0" customWidth="1"/>
    <x:col min="4" max="4" width="15" hidden="0" customWidth="1"/>
    <x:col min="5" max="5" width="14" hidden="0" customWidth="1"/>
    <x:col min="6" max="6" width="22" hidden="0" customWidth="1"/>
    <x:col min="7" max="7" width="15" hidden="0" customWidth="1"/>
    <x:col min="8" max="8" width="18" hidden="0" customWidth="1"/>
    <x:col min="9" max="9" width="14" hidden="0" customWidth="1"/>
    <x:col min="10" max="10" width="17" hidden="0" customWidth="1"/>
    <x:col min="11" max="11" width="20" hidden="0" customWidth="1"/>
    <x:col min="12" max="12" width="18" hidden="0" customWidth="1"/>
  </x:cols>
  <x:sheetData>
    <x:row r="1" ht="24" customHeight="1">
      <x:c r="A1" s="52" t="str">
        <x:v>Earthworks and controlled material flow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38" t="str">
        <x:v>Barrier, breach and debris work compete for machines, haul, processing and lawful disposition.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</x:row>
    <x:row r="4">
      <x:c r="A4" s="40" t="str">
        <x:v>Resource</x:v>
      </x:c>
      <x:c r="B4" s="41" t="str">
        <x:v>Quantity</x:v>
      </x:c>
      <x:c r="C4" s="41" t="str">
        <x:v>Unit productivity (t/day)</x:v>
      </x:c>
      <x:c r="D4" s="41" t="str">
        <x:v>Availability</x:v>
      </x:c>
      <x:c r="E4" s="41" t="str">
        <x:v>Case factor</x:v>
      </x:c>
      <x:c r="F4" s="41" t="str">
        <x:v>Effective production (t/day)</x:v>
      </x:c>
      <x:c r="G4" s="41" t="str">
        <x:v>Unit mass (t)</x:v>
      </x:c>
      <x:c r="H4" s="41" t="str">
        <x:v>Deployed mass (t)</x:v>
      </x:c>
      <x:c r="I4" s="41" t="str">
        <x:v>Crew/shift</x:v>
      </x:c>
      <x:c r="J4" s="41" t="str">
        <x:v>Acquisition ($M)</x:v>
      </x:c>
      <x:c r="K4" s="41" t="str">
        <x:v>Exposure mode</x:v>
      </x:c>
      <x:c r="L4" s="42" t="str">
        <x:v>Evidence</x:v>
      </x:c>
    </x:row>
    <x:row r="5">
      <x:c r="A5" s="54" t="str">
        <x:v>Crewed work machines</x:v>
      </x:c>
      <x:c r="B5" s="63" t="n">
        <x:f>'Controls'!$C$50</x:f>
        <x:v>80</x:v>
      </x:c>
      <x:c r="C5" s="55" t="n">
        <x:v>500</x:v>
      </x:c>
      <x:c r="D5" s="56" t="n">
        <x:v>0.8</x:v>
      </x:c>
      <x:c r="E5" s="56" t="n">
        <x:v>0.8</x:v>
      </x:c>
      <x:c r="F5" s="63" t="n">
        <x:f>B5*C5*D5*E5</x:f>
        <x:v>25600</x:v>
      </x:c>
      <x:c r="G5" s="63" t="n">
        <x:v>45</x:v>
      </x:c>
      <x:c r="H5" s="63" t="n">
        <x:f>B5*G5</x:f>
        <x:v>3600</x:v>
      </x:c>
      <x:c r="I5" s="55" t="n">
        <x:v>1.5</x:v>
      </x:c>
      <x:c r="J5" s="55" t="n">
        <x:v>1.2</x:v>
      </x:c>
      <x:c r="K5" s="54" t="str">
        <x:v>Crewed</x:v>
      </x:c>
      <x:c r="L5" s="54" t="str">
        <x:v>Assumption</x:v>
      </x:c>
    </x:row>
    <x:row r="6">
      <x:c r="A6" s="54" t="str">
        <x:v>Robotic work machines</x:v>
      </x:c>
      <x:c r="B6" s="63" t="n">
        <x:f>'Controls'!$C$51</x:f>
        <x:v>60</x:v>
      </x:c>
      <x:c r="C6" s="55" t="n">
        <x:v>650</x:v>
      </x:c>
      <x:c r="D6" s="56" t="n">
        <x:v>0.75</x:v>
      </x:c>
      <x:c r="E6" s="56" t="n">
        <x:v>0.8</x:v>
      </x:c>
      <x:c r="F6" s="63" t="n">
        <x:f>B6*C6*D6*E6</x:f>
        <x:v>23400</x:v>
      </x:c>
      <x:c r="G6" s="63" t="n">
        <x:v>50</x:v>
      </x:c>
      <x:c r="H6" s="63" t="n">
        <x:f>B6*G6</x:f>
        <x:v>3000</x:v>
      </x:c>
      <x:c r="I6" s="55" t="n">
        <x:v>1.2</x:v>
      </x:c>
      <x:c r="J6" s="55" t="n">
        <x:v>2.5</x:v>
      </x:c>
      <x:c r="K6" s="54" t="str">
        <x:v>Optional crew/remote</x:v>
      </x:c>
      <x:c r="L6" s="54" t="str">
        <x:v>Assumption</x:v>
      </x:c>
    </x:row>
    <x:row r="7">
      <x:c r="A7" s="54"/>
      <x:c r="B7" s="63"/>
      <x:c r="C7" s="54"/>
      <x:c r="D7" s="54"/>
      <x:c r="E7" s="54"/>
      <x:c r="F7" s="63"/>
      <x:c r="G7" s="63"/>
      <x:c r="H7" s="63"/>
      <x:c r="I7" s="54"/>
      <x:c r="J7" s="54"/>
      <x:c r="K7" s="54"/>
      <x:c r="L7" s="54"/>
    </x:row>
    <x:row r="8">
      <x:c r="A8" s="54" t="str">
        <x:v>Total</x:v>
      </x:c>
      <x:c r="B8" s="63" t="n">
        <x:f>SUM(B5:B6)</x:f>
        <x:v>140</x:v>
      </x:c>
      <x:c r="C8" s="54"/>
      <x:c r="D8" s="54"/>
      <x:c r="E8" s="54"/>
      <x:c r="F8" s="63" t="n">
        <x:f>SUM(F5:F6)</x:f>
        <x:v>49000</x:v>
      </x:c>
      <x:c r="G8" s="63"/>
      <x:c r="H8" s="63" t="n">
        <x:f>SUM(H5:H6)</x:f>
        <x:v>6600</x:v>
      </x:c>
      <x:c r="I8" s="54"/>
      <x:c r="J8" s="63" t="n">
        <x:f>SUMPRODUCT(B5:B6,J5:J6)</x:f>
        <x:v>246</x:v>
      </x:c>
      <x:c r="K8" s="54" t="str"/>
      <x:c r="L8" s="54" t="str">
        <x:v>Configuration screen</x:v>
      </x:c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  <x:row r="11">
      <x:c r="A11" s="60" t="str">
        <x:v>Material demand</x:v>
      </x:c>
      <x:c r="B11" s="61"/>
      <x:c r="C11" s="61"/>
      <x:c r="D11" s="61"/>
      <x:c r="E11" s="61"/>
      <x:c r="F11" s="62"/>
      <x:c r="G11" s="54"/>
      <x:c r="H11" s="54"/>
      <x:c r="I11" s="54"/>
      <x:c r="J11" s="54"/>
      <x:c r="K11" s="54"/>
      <x:c r="L11" s="54"/>
    </x:row>
    <x:row r="12">
      <x:c r="A12" s="40" t="str">
        <x:v>Material</x:v>
      </x:c>
      <x:c r="B12" s="41" t="str">
        <x:v>Demand (t)</x:v>
      </x:c>
      <x:c r="C12" s="41" t="str">
        <x:v>Daily capacity (t/day)</x:v>
      </x:c>
      <x:c r="D12" s="41" t="str">
        <x:v>Completion days</x:v>
      </x:c>
      <x:c r="E12" s="41" t="str">
        <x:v>Disposition</x:v>
      </x:c>
      <x:c r="F12" s="42" t="str">
        <x:v>Limit</x:v>
      </x:c>
      <x:c r="G12" s="54"/>
      <x:c r="H12" s="54"/>
      <x:c r="I12" s="54"/>
      <x:c r="J12" s="54"/>
      <x:c r="K12" s="54"/>
      <x:c r="L12" s="54"/>
    </x:row>
    <x:row r="13">
      <x:c r="A13" s="54" t="str">
        <x:v>Barrier material</x:v>
      </x:c>
      <x:c r="B13" s="63" t="n">
        <x:f>'Barrier Geometry Loads'!$J$10+'Barrier Geometry Loads'!$L$10</x:f>
        <x:v>218980</x:v>
      </x:c>
      <x:c r="C13" s="63" t="n">
        <x:f>$F$8*0.4</x:f>
        <x:v>19600</x:v>
      </x:c>
      <x:c r="D13" s="63" t="n">
        <x:f>IF(C13=0,"",B13/C13)</x:f>
        <x:v>11.172448979591836</x:v>
      </x:c>
      <x:c r="E13" s="54" t="str">
        <x:v>Placed/removed</x:v>
      </x:c>
      <x:c r="F13" s="54" t="str">
        <x:v>Filters and haul omitted</x:v>
      </x:c>
      <x:c r="G13" s="54"/>
      <x:c r="H13" s="54"/>
      <x:c r="I13" s="54"/>
      <x:c r="J13" s="54"/>
      <x:c r="K13" s="54"/>
      <x:c r="L13" s="54"/>
    </x:row>
    <x:row r="14">
      <x:c r="A14" s="54" t="str">
        <x:v>Breach closure</x:v>
      </x:c>
      <x:c r="B14" s="63" t="n">
        <x:f>'Breach Growth Arrest'!$B$13</x:f>
        <x:v>0</x:v>
      </x:c>
      <x:c r="C14" s="63" t="n">
        <x:f>$F$8*0.2</x:f>
        <x:v>9800</x:v>
      </x:c>
      <x:c r="D14" s="63" t="n">
        <x:f>IF(C14=0,"",B14/C14)</x:f>
        <x:v>0</x:v>
      </x:c>
      <x:c r="E14" s="54" t="str">
        <x:v>Filtered closure</x:v>
      </x:c>
      <x:c r="F14" s="54" t="str">
        <x:v>Geotechnical model open</x:v>
      </x:c>
      <x:c r="G14" s="54"/>
      <x:c r="H14" s="54"/>
      <x:c r="I14" s="54"/>
      <x:c r="J14" s="54"/>
      <x:c r="K14" s="54"/>
      <x:c r="L14" s="54"/>
    </x:row>
    <x:row r="15">
      <x:c r="A15" s="54" t="str">
        <x:v>Flood debris</x:v>
      </x:c>
      <x:c r="B15" s="63" t="n">
        <x:f>'Flood Cases'!$C$38</x:f>
        <x:v>200000</x:v>
      </x:c>
      <x:c r="C15" s="63" t="n">
        <x:f>$F$8*0.4</x:f>
        <x:v>19600</x:v>
      </x:c>
      <x:c r="D15" s="63" t="n">
        <x:f>IF(C15=0,"",B15/C15)</x:f>
        <x:v>10.204081632653061</x:v>
      </x:c>
      <x:c r="E15" s="54" t="str">
        <x:v>Sort/process/dispose</x:v>
      </x:c>
      <x:c r="F15" s="54" t="str">
        <x:v>Waste composition open</x:v>
      </x:c>
      <x:c r="G15" s="54"/>
      <x:c r="H15" s="54"/>
      <x:c r="I15" s="54"/>
      <x:c r="J15" s="54"/>
      <x:c r="K15" s="54"/>
      <x:c r="L15" s="54"/>
    </x:row>
    <x:row r="16">
      <x:c r="A16" s="54" t="str">
        <x:v>Total handled</x:v>
      </x:c>
      <x:c r="B16" s="63" t="n">
        <x:f>SUM(B13:B15)</x:f>
        <x:v>418980</x:v>
      </x:c>
      <x:c r="C16" s="63" t="n">
        <x:f>$F$8</x:f>
        <x:v>49000</x:v>
      </x:c>
      <x:c r="D16" s="63" t="n">
        <x:f>IF(C16=0,"",B16/C16)</x:f>
        <x:v>8.550612244897959</x:v>
      </x:c>
      <x:c r="E16" s="54" t="str">
        <x:v>Competing workflow</x:v>
      </x:c>
      <x:c r="F16" s="54" t="str">
        <x:v>Cannot all use same machine-hours</x:v>
      </x:c>
      <x:c r="G16" s="54"/>
      <x:c r="H16" s="54"/>
      <x:c r="I16" s="54"/>
      <x:c r="J16" s="54"/>
      <x:c r="K16" s="54"/>
      <x:c r="L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</x:row>
  </x:sheetData>
  <x:mergeCells>
    <x:mergeCell ref="A1:L1"/>
    <x:mergeCell ref="A2:L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16" hidden="0" customWidth="1"/>
    <x:col min="4" max="4" width="24" hidden="0" customWidth="1"/>
    <x:col min="5" max="5" width="24" hidden="0" customWidth="1"/>
    <x:col min="6" max="6" width="23" hidden="0" customWidth="1"/>
    <x:col min="7" max="7" width="27" hidden="0" customWidth="1"/>
    <x:col min="8" max="8" width="18" hidden="0" customWidth="1"/>
  </x:cols>
  <x:sheetData>
    <x:row r="1" ht="24" customHeight="1">
      <x:c r="A1" s="52" t="str">
        <x:v>Contamination-aware dewatering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The group measures contaminated flow, isolates a high-hazard fraction and monitors lawful discharge. It does not promise to treat all floodwater.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Measure</x:v>
      </x:c>
      <x:c r="B4" s="41" t="str">
        <x:v>Value</x:v>
      </x:c>
      <x:c r="C4" s="41" t="str">
        <x:v>Unit</x:v>
      </x:c>
      <x:c r="D4" s="41" t="str">
        <x:v>Rule</x:v>
      </x:c>
      <x:c r="E4" s="41" t="str">
        <x:v>Operational use</x:v>
      </x:c>
      <x:c r="F4" s="41" t="str">
        <x:v>Authority</x:v>
      </x:c>
      <x:c r="G4" s="41" t="str">
        <x:v>Limit</x:v>
      </x:c>
      <x:c r="H4" s="42" t="str">
        <x:v>Evidence</x:v>
      </x:c>
    </x:row>
    <x:row r="5">
      <x:c r="A5" s="54" t="str">
        <x:v>Pumped volume/day</x:v>
      </x:c>
      <x:c r="B5" s="63" t="n">
        <x:f>'Receiving Discharge'!$B$13*86400</x:f>
        <x:v>3158027.9999999995</x:v>
      </x:c>
      <x:c r="C5" s="54" t="str">
        <x:v>m³/day</x:v>
      </x:c>
      <x:c r="D5" s="54" t="str">
        <x:v>Flow × time</x:v>
      </x:c>
      <x:c r="E5" s="54" t="str">
        <x:v>Volume</x:v>
      </x:c>
      <x:c r="F5" s="54" t="str">
        <x:v>Environmental</x:v>
      </x:c>
      <x:c r="G5" s="54" t="str">
        <x:v>No route quality model</x:v>
      </x:c>
      <x:c r="H5" s="54" t="str">
        <x:v>Calculated</x:v>
      </x:c>
    </x:row>
    <x:row r="6">
      <x:c r="A6" s="54" t="str">
        <x:v>Contaminated share</x:v>
      </x:c>
      <x:c r="B6" s="67" t="n">
        <x:f>'Flood Cases'!$C$27</x:f>
        <x:v>0.35</x:v>
      </x:c>
      <x:c r="C6" s="54" t="str">
        <x:v>fraction</x:v>
      </x:c>
      <x:c r="D6" s="54" t="str">
        <x:v>Case input</x:v>
      </x:c>
      <x:c r="E6" s="54" t="str">
        <x:v>Zone</x:v>
      </x:c>
      <x:c r="F6" s="54" t="str">
        <x:v>Environmental</x:v>
      </x:c>
      <x:c r="G6" s="54" t="str">
        <x:v>Spatially variable</x:v>
      </x:c>
      <x:c r="H6" s="54" t="str">
        <x:v>Assumption</x:v>
      </x:c>
    </x:row>
    <x:row r="7">
      <x:c r="A7" s="54" t="str">
        <x:v>Contaminated volume/day</x:v>
      </x:c>
      <x:c r="B7" s="63" t="n">
        <x:f>B5*B6</x:f>
        <x:v>1105309.7999999998</x:v>
      </x:c>
      <x:c r="C7" s="54" t="str">
        <x:v>m³/day</x:v>
      </x:c>
      <x:c r="D7" s="54" t="str">
        <x:v>Product</x:v>
      </x:c>
      <x:c r="E7" s="54" t="str">
        <x:v>Monitoring</x:v>
      </x:c>
      <x:c r="F7" s="54" t="str">
        <x:v>Environmental</x:v>
      </x:c>
      <x:c r="G7" s="54" t="str">
        <x:v>Composition unknown</x:v>
      </x:c>
      <x:c r="H7" s="54" t="str">
        <x:v>Calculated</x:v>
      </x:c>
    </x:row>
    <x:row r="8">
      <x:c r="A8" s="54" t="str">
        <x:v>High-hazard share</x:v>
      </x:c>
      <x:c r="B8" s="67" t="n">
        <x:f>'Controls'!$C$21</x:f>
        <x:v>0.02</x:v>
      </x:c>
      <x:c r="C8" s="54" t="str">
        <x:v>fraction</x:v>
      </x:c>
      <x:c r="D8" s="54" t="str">
        <x:v>Editable</x:v>
      </x:c>
      <x:c r="E8" s="54" t="str">
        <x:v>Isolation</x:v>
      </x:c>
      <x:c r="F8" s="54" t="str">
        <x:v>Environmental</x:v>
      </x:c>
      <x:c r="G8" s="54" t="str">
        <x:v>Not empirical</x:v>
      </x:c>
      <x:c r="H8" s="54" t="str">
        <x:v>Assumption</x:v>
      </x:c>
    </x:row>
    <x:row r="9">
      <x:c r="A9" s="54" t="str">
        <x:v>High-hazard volume/day</x:v>
      </x:c>
      <x:c r="B9" s="63" t="n">
        <x:f>B7*B8</x:f>
        <x:v>22106.195999999996</x:v>
      </x:c>
      <x:c r="C9" s="54" t="str">
        <x:v>m³/day</x:v>
      </x:c>
      <x:c r="D9" s="54" t="str">
        <x:v>Contaminated × hazardous</x:v>
      </x:c>
      <x:c r="E9" s="54" t="str">
        <x:v>Treatment demand</x:v>
      </x:c>
      <x:c r="F9" s="54" t="str">
        <x:v>Environmental</x:v>
      </x:c>
      <x:c r="G9" s="54" t="str">
        <x:v>Requires sampling</x:v>
      </x:c>
      <x:c r="H9" s="54" t="str">
        <x:v>Calculated</x:v>
      </x:c>
    </x:row>
    <x:row r="10">
      <x:c r="A10" s="54" t="str">
        <x:v>Formation treatment capacity</x:v>
      </x:c>
      <x:c r="B10" s="63" t="n">
        <x:f>IF('Controls'!$C$5="FIN Regional Cell",25000,IF('Controls'!$C$5="Inland HCG-100",500000,750000))</x:f>
        <x:v>500000</x:v>
      </x:c>
      <x:c r="C10" s="54" t="str">
        <x:v>m³/day</x:v>
      </x:c>
      <x:c r="D10" s="54" t="str">
        <x:v>Formation case</x:v>
      </x:c>
      <x:c r="E10" s="54" t="str">
        <x:v>Treatment/containment</x:v>
      </x:c>
      <x:c r="F10" s="54" t="str">
        <x:v>Environmental</x:v>
      </x:c>
      <x:c r="G10" s="54" t="str">
        <x:v>Technology mix open</x:v>
      </x:c>
      <x:c r="H10" s="54" t="str">
        <x:v>Assumption</x:v>
      </x:c>
    </x:row>
    <x:row r="11">
      <x:c r="A11" s="54" t="str">
        <x:v>Treatment utilization</x:v>
      </x:c>
      <x:c r="B11" s="67" t="n">
        <x:f>IF(B10=0,0,B9/B10)</x:f>
        <x:v>0.04421239199999999</x:v>
      </x:c>
      <x:c r="C11" s="54" t="str">
        <x:v>ratio</x:v>
      </x:c>
      <x:c r="D11" s="54" t="str">
        <x:v>Demand/capacity</x:v>
      </x:c>
      <x:c r="E11" s="54" t="str">
        <x:v>Capacity</x:v>
      </x:c>
      <x:c r="F11" s="54" t="str">
        <x:v>Environmental</x:v>
      </x:c>
      <x:c r="G11" s="54" t="str">
        <x:v>Peak and solids omitted</x:v>
      </x:c>
      <x:c r="H11" s="54" t="str">
        <x:v>Calculated</x:v>
      </x:c>
    </x:row>
    <x:row r="12">
      <x:c r="A12" s="54" t="str">
        <x:v>Monitored direct discharge</x:v>
      </x:c>
      <x:c r="B12" s="63" t="n">
        <x:f>MAX(0,B7-B9)</x:f>
        <x:v>1083203.6039999998</x:v>
      </x:c>
      <x:c r="C12" s="54" t="str">
        <x:v>m³/day</x:v>
      </x:c>
      <x:c r="D12" s="54" t="str">
        <x:v>Contaminated less isolated</x:v>
      </x:c>
      <x:c r="E12" s="54" t="str">
        <x:v>Discharge</x:v>
      </x:c>
      <x:c r="F12" s="54" t="str">
        <x:v>Civil/environmental</x:v>
      </x:c>
      <x:c r="G12" s="54" t="str">
        <x:v>Requires permit and monitoring</x:v>
      </x:c>
      <x:c r="H12" s="54" t="str">
        <x:v>Calculated</x:v>
      </x:c>
    </x:row>
    <x:row r="13">
      <x:c r="A13" s="54" t="str">
        <x:v>Uncontrolled high-hazard flow</x:v>
      </x:c>
      <x:c r="B13" s="63" t="n">
        <x:f>MAX(0,B9-B10)</x:f>
        <x:v>0</x:v>
      </x:c>
      <x:c r="C13" s="54" t="str">
        <x:v>m³/day</x:v>
      </x:c>
      <x:c r="D13" s="54" t="str">
        <x:v>Demand minus capacity</x:v>
      </x:c>
      <x:c r="E13" s="54" t="str">
        <x:v>Stop condition</x:v>
      </x:c>
      <x:c r="F13" s="54" t="str">
        <x:v>Civil/environmental</x:v>
      </x:c>
      <x:c r="G13" s="54" t="str">
        <x:v>No dilution credit</x:v>
      </x:c>
      <x:c r="H13" s="54" t="str">
        <x:v>Calculated</x:v>
      </x:c>
    </x:row>
    <x:row r="14">
      <x:c r="A14" s="54" t="str">
        <x:v>Environmental state</x:v>
      </x:c>
      <x:c r="B14" s="63" t="str">
        <x:f>IF(B13&gt;0,"Containment shortfall","High-hazard screen covered")</x:f>
        <x:v>High-hazard screen covered</x:v>
      </x:c>
      <x:c r="C14" s="54" t="str">
        <x:v>text</x:v>
      </x:c>
      <x:c r="D14" s="54" t="str">
        <x:v>Rule</x:v>
      </x:c>
      <x:c r="E14" s="54" t="str">
        <x:v>Decision</x:v>
      </x:c>
      <x:c r="F14" s="54" t="str">
        <x:v>Civil/environmental</x:v>
      </x:c>
      <x:c r="G14" s="54" t="str">
        <x:v>Screen only</x:v>
      </x:c>
      <x:c r="H14" s="54" t="str">
        <x:v>Calculated</x:v>
      </x:c>
    </x:row>
    <x:row r="15">
      <x:c r="A15" s="54"/>
      <x:c r="B15" s="54"/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4" hidden="0" customWidth="1"/>
    <x:col min="7" max="7" width="17" hidden="0" customWidth="1"/>
    <x:col min="8" max="8" width="18" hidden="0" customWidth="1"/>
    <x:col min="9" max="9" width="24" hidden="0" customWidth="1"/>
    <x:col min="10" max="10" width="26" hidden="0" customWidth="1"/>
  </x:cols>
  <x:sheetData>
    <x:row r="1" ht="24" customHeight="1">
      <x:c r="A1" s="52" t="str">
        <x:v>Critical infrastructure protection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Facilities are screened by density, barrier coverage, drainage margin and formation teams. Counts are not field inventories.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Asset class</x:v>
      </x:c>
      <x:c r="B4" s="41" t="str">
        <x:v>Sites/100 km²</x:v>
      </x:c>
      <x:c r="C4" s="41" t="str">
        <x:v>Sites exposed</x:v>
      </x:c>
      <x:c r="D4" s="41" t="str">
        <x:v>Priority weight</x:v>
      </x:c>
      <x:c r="E4" s="41" t="str">
        <x:v>Barrier share</x:v>
      </x:c>
      <x:c r="F4" s="41" t="str">
        <x:v>Pump share</x:v>
      </x:c>
      <x:c r="G4" s="41" t="str">
        <x:v>Protection teams</x:v>
      </x:c>
      <x:c r="H4" s="41" t="str">
        <x:v>Team capacity/day</x:v>
      </x:c>
      <x:c r="I4" s="41" t="str">
        <x:v>Protected equivalents/day</x:v>
      </x:c>
      <x:c r="J4" s="42" t="str">
        <x:v>Limit</x:v>
      </x:c>
    </x:row>
    <x:row r="5">
      <x:c r="A5" s="54" t="str">
        <x:v>Hospitals and care</x:v>
      </x:c>
      <x:c r="B5" s="55" t="n">
        <x:v>6</x:v>
      </x:c>
      <x:c r="C5" s="63" t="n">
        <x:f>B5*'Flood Cases'!$C$15/100</x:f>
        <x:v>3</x:v>
      </x:c>
      <x:c r="D5" s="55" t="n">
        <x:v>5</x:v>
      </x:c>
      <x:c r="E5" s="56" t="n">
        <x:v>0.25</x:v>
      </x:c>
      <x:c r="F5" s="56" t="n">
        <x:v>0.2</x:v>
      </x:c>
      <x:c r="G5" s="55" t="n">
        <x:v>10</x:v>
      </x:c>
      <x:c r="H5" s="55" t="n">
        <x:v>1</x:v>
      </x:c>
      <x:c r="I5" s="54" t="n">
        <x:f>MIN(C5,G5*H5)*'Barrier Geometry Loads'!$N$10*IF('Interior Drainage'!$B$13&gt;=0,1,0.5)</x:f>
        <x:v>1.3777500000000003</x:v>
      </x:c>
      <x:c r="J5" s="54" t="str">
        <x:v>Acuity not modeled</x:v>
      </x:c>
    </x:row>
    <x:row r="6">
      <x:c r="A6" s="54" t="str">
        <x:v>Power substations</x:v>
      </x:c>
      <x:c r="B6" s="55" t="n">
        <x:v>20</x:v>
      </x:c>
      <x:c r="C6" s="63" t="n">
        <x:f>B6*'Flood Cases'!$C$15/100</x:f>
        <x:v>10</x:v>
      </x:c>
      <x:c r="D6" s="55" t="n">
        <x:v>5</x:v>
      </x:c>
      <x:c r="E6" s="56" t="n">
        <x:v>0.2</x:v>
      </x:c>
      <x:c r="F6" s="56" t="n">
        <x:v>0.2</x:v>
      </x:c>
      <x:c r="G6" s="55" t="n">
        <x:v>12</x:v>
      </x:c>
      <x:c r="H6" s="55" t="n">
        <x:v>2</x:v>
      </x:c>
      <x:c r="I6" s="54" t="n">
        <x:f>MIN(C6,G6*H6)*'Barrier Geometry Loads'!$N$10*IF('Interior Drainage'!$B$13&gt;=0,1,0.5)</x:f>
        <x:v>4.5925</x:v>
      </x:c>
      <x:c r="J6" s="54" t="str">
        <x:v>Electrical safety</x:v>
      </x:c>
    </x:row>
    <x:row r="7">
      <x:c r="A7" s="54" t="str">
        <x:v>Water/wastewater</x:v>
      </x:c>
      <x:c r="B7" s="55" t="n">
        <x:v>10</x:v>
      </x:c>
      <x:c r="C7" s="63" t="n">
        <x:f>B7*'Flood Cases'!$C$15/100</x:f>
        <x:v>5</x:v>
      </x:c>
      <x:c r="D7" s="55" t="n">
        <x:v>5</x:v>
      </x:c>
      <x:c r="E7" s="56" t="n">
        <x:v>0.2</x:v>
      </x:c>
      <x:c r="F7" s="56" t="n">
        <x:v>0.25</x:v>
      </x:c>
      <x:c r="G7" s="55" t="n">
        <x:v>10</x:v>
      </x:c>
      <x:c r="H7" s="55" t="n">
        <x:v>1</x:v>
      </x:c>
      <x:c r="I7" s="54" t="n">
        <x:f>MIN(C7,G7*H7)*'Barrier Geometry Loads'!$N$10*IF('Interior Drainage'!$B$13&gt;=0,1,0.5)</x:f>
        <x:v>2.29625</x:v>
      </x:c>
      <x:c r="J7" s="54" t="str">
        <x:v>Restart dependencies</x:v>
      </x:c>
    </x:row>
    <x:row r="8">
      <x:c r="A8" s="54" t="str">
        <x:v>Communications</x:v>
      </x:c>
      <x:c r="B8" s="55" t="n">
        <x:v>25</x:v>
      </x:c>
      <x:c r="C8" s="63" t="n">
        <x:f>B8*'Flood Cases'!$C$15/100</x:f>
        <x:v>12.5</x:v>
      </x:c>
      <x:c r="D8" s="55" t="n">
        <x:v>4</x:v>
      </x:c>
      <x:c r="E8" s="56" t="n">
        <x:v>0.15</x:v>
      </x:c>
      <x:c r="F8" s="56" t="n">
        <x:v>0.1</x:v>
      </x:c>
      <x:c r="G8" s="55" t="n">
        <x:v>8</x:v>
      </x:c>
      <x:c r="H8" s="55" t="n">
        <x:v>3</x:v>
      </x:c>
      <x:c r="I8" s="54" t="n">
        <x:f>MIN(C8,G8*H8)*'Barrier Geometry Loads'!$N$10*IF('Interior Drainage'!$B$13&gt;=0,1,0.5)</x:f>
        <x:v>5.7406250000000005</x:v>
      </x:c>
      <x:c r="J8" s="54" t="str">
        <x:v>Backhaul omitted</x:v>
      </x:c>
    </x:row>
    <x:row r="9">
      <x:c r="A9" s="54" t="str">
        <x:v>Transport nodes</x:v>
      </x:c>
      <x:c r="B9" s="55" t="n">
        <x:v>15</x:v>
      </x:c>
      <x:c r="C9" s="63" t="n">
        <x:f>B9*'Flood Cases'!$C$15/100</x:f>
        <x:v>7.5</x:v>
      </x:c>
      <x:c r="D9" s="55" t="n">
        <x:v>4</x:v>
      </x:c>
      <x:c r="E9" s="56" t="n">
        <x:v>0.2</x:v>
      </x:c>
      <x:c r="F9" s="56" t="n">
        <x:v>0.25</x:v>
      </x:c>
      <x:c r="G9" s="55" t="n">
        <x:v>10</x:v>
      </x:c>
      <x:c r="H9" s="55" t="n">
        <x:v>2</x:v>
      </x:c>
      <x:c r="I9" s="54" t="n">
        <x:f>MIN(C9,G9*H9)*'Barrier Geometry Loads'!$N$10*IF('Interior Drainage'!$B$13&gt;=0,1,0.5)</x:f>
        <x:v>3.4443750000000004</x:v>
      </x:c>
      <x:c r="J9" s="54" t="str">
        <x:v>Network flow omitted</x:v>
      </x:c>
    </x:row>
    <x:row r="10">
      <x:c r="A10" s="54"/>
      <x:c r="B10" s="54"/>
      <x:c r="C10" s="63"/>
      <x:c r="D10" s="54"/>
      <x:c r="E10" s="54"/>
      <x:c r="F10" s="54"/>
      <x:c r="G10" s="54"/>
      <x:c r="H10" s="54"/>
      <x:c r="I10" s="54"/>
      <x:c r="J10" s="54"/>
    </x:row>
    <x:row r="11">
      <x:c r="A11" s="54" t="str">
        <x:v>Total</x:v>
      </x:c>
      <x:c r="B11" s="54"/>
      <x:c r="C11" s="63" t="n">
        <x:f>SUM(C5:C9)</x:f>
        <x:v>38</x:v>
      </x:c>
      <x:c r="D11" s="54"/>
      <x:c r="E11" s="54"/>
      <x:c r="F11" s="54"/>
      <x:c r="G11" s="63" t="n">
        <x:f>SUM(G5:G9)</x:f>
        <x:v>50</x:v>
      </x:c>
      <x:c r="H11" s="63"/>
      <x:c r="I11" s="63" t="n">
        <x:f>SUM(I5:I9)</x:f>
        <x:v>17.451500000000003</x:v>
      </x:c>
      <x:c r="J11" s="54" t="str">
        <x:v>Effect screen</x:v>
      </x:c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24" customHeight="1">
      <x:c r="A1" s="52" t="str">
        <x:v>Preliminary dry deployment manifest</x:v>
      </x:c>
      <x:c r="B1" s="53"/>
      <x:c r="C1" s="53"/>
      <x:c r="D1" s="53"/>
      <x:c r="E1" s="53"/>
      <x:c r="F1" s="53"/>
      <x:c r="G1" s="53"/>
    </x:row>
    <x:row r="2" ht="28" customHeight="1">
      <x:c r="A2" s="38" t="str">
        <x:v>Mass is configuration-level screening. Operating fuel, pumped water, local aggregate and route-specific works are excluded unless listed.</x:v>
      </x:c>
      <x:c r="B2" s="38"/>
      <x:c r="C2" s="38"/>
      <x:c r="D2" s="38"/>
      <x:c r="E2" s="38"/>
      <x:c r="F2" s="38"/>
      <x:c r="G2" s="38"/>
    </x:row>
    <x:row r="3">
      <x:c r="A3" s="54"/>
      <x:c r="B3" s="54"/>
      <x:c r="C3" s="54"/>
      <x:c r="D3" s="54"/>
      <x:c r="E3" s="54"/>
      <x:c r="F3" s="54"/>
      <x:c r="G3" s="54"/>
    </x:row>
    <x:row r="4">
      <x:c r="A4" s="40" t="str">
        <x:v>Element</x:v>
      </x:c>
      <x:c r="B4" s="41" t="str">
        <x:v>Quantity basis</x:v>
      </x:c>
      <x:c r="C4" s="41" t="str">
        <x:v>Unit mass</x:v>
      </x:c>
      <x:c r="D4" s="41" t="str">
        <x:v>Subtotal (t)</x:v>
      </x:c>
      <x:c r="E4" s="41" t="str">
        <x:v>Self-deploy share</x:v>
      </x:c>
      <x:c r="F4" s="41" t="str">
        <x:v>External lift (t)</x:v>
      </x:c>
      <x:c r="G4" s="42" t="str">
        <x:v>Limit</x:v>
      </x:c>
    </x:row>
    <x:row r="5">
      <x:c r="A5" s="54" t="str">
        <x:v>Pump modules</x:v>
      </x:c>
      <x:c r="B5" s="54" t="str">
        <x:v>Pump-family total</x:v>
      </x:c>
      <x:c r="C5" s="54" t="n">
        <x:v>1</x:v>
      </x:c>
      <x:c r="D5" s="63" t="n">
        <x:f>'Pump Families'!$G$10</x:f>
        <x:v>4150</x:v>
      </x:c>
      <x:c r="E5" s="56" t="n">
        <x:v>0.2</x:v>
      </x:c>
      <x:c r="F5" s="63" t="n">
        <x:f>D5*(1-E5)</x:f>
        <x:v>3320</x:v>
      </x:c>
      <x:c r="G5" s="54" t="str">
        <x:v>Wet ends and drives only</x:v>
      </x:c>
    </x:row>
    <x:row r="6">
      <x:c r="A6" s="54" t="str">
        <x:v>Drainage Spine material</x:v>
      </x:c>
      <x:c r="B6" s="54" t="str">
        <x:v>Calculated</x:v>
      </x:c>
      <x:c r="C6" s="54" t="n">
        <x:v>1</x:v>
      </x:c>
      <x:c r="D6" s="63" t="n">
        <x:f>'Drainage Spine'!$I$10</x:f>
        <x:v>27600</x:v>
      </x:c>
      <x:c r="E6" s="56" t="n">
        <x:v>0</x:v>
      </x:c>
      <x:c r="F6" s="63" t="n">
        <x:f>D6*(1-E6)</x:f>
        <x:v>27600</x:v>
      </x:c>
      <x:c r="G6" s="54" t="str">
        <x:v>Joints/anchors partially allowed</x:v>
      </x:c>
    </x:row>
    <x:row r="7">
      <x:c r="A7" s="54" t="str">
        <x:v>Spine handling and crossings</x:v>
      </x:c>
      <x:c r="B7" s="54" t="str">
        <x:v>25% of line mass</x:v>
      </x:c>
      <x:c r="C7" s="54" t="n">
        <x:v>1</x:v>
      </x:c>
      <x:c r="D7" s="63" t="n">
        <x:f>D6*0.25</x:f>
        <x:v>6900</x:v>
      </x:c>
      <x:c r="E7" s="56" t="n">
        <x:v>0</x:v>
      </x:c>
      <x:c r="F7" s="63" t="n">
        <x:f>D7*(1-E7)</x:f>
        <x:v>6900</x:v>
      </x:c>
      <x:c r="G7" s="54" t="str">
        <x:v>Provisional</x:v>
      </x:c>
    </x:row>
    <x:row r="8">
      <x:c r="A8" s="54" t="str">
        <x:v>Barrier system</x:v>
      </x:c>
      <x:c r="B8" s="54" t="str">
        <x:v>Earth plus non-earth</x:v>
      </x:c>
      <x:c r="C8" s="54" t="n">
        <x:v>1</x:v>
      </x:c>
      <x:c r="D8" s="63" t="n">
        <x:f>'Barrier Geometry Loads'!$L$10</x:f>
        <x:v>2980</x:v>
      </x:c>
      <x:c r="E8" s="56" t="n">
        <x:v>0</x:v>
      </x:c>
      <x:c r="F8" s="63" t="n">
        <x:f>D8*(1-E8)</x:f>
        <x:v>2980</x:v>
      </x:c>
      <x:c r="G8" s="54" t="str">
        <x:v>Local earth excluded from lift below</x:v>
      </x:c>
    </x:row>
    <x:row r="9">
      <x:c r="A9" s="54" t="str">
        <x:v>Amphibious fleet</x:v>
      </x:c>
      <x:c r="B9" s="54" t="str">
        <x:v>Craft mass</x:v>
      </x:c>
      <x:c r="C9" s="54" t="n">
        <x:v>1</x:v>
      </x:c>
      <x:c r="D9" s="63" t="n">
        <x:f>'Amphibious Cycles'!$M$11</x:f>
        <x:v>2016</x:v>
      </x:c>
      <x:c r="E9" s="56" t="n">
        <x:v>0.6</x:v>
      </x:c>
      <x:c r="F9" s="63" t="n">
        <x:f>D9*(1-E9)</x:f>
        <x:v>806.4000000000001</x:v>
      </x:c>
      <x:c r="G9" s="54" t="str">
        <x:v>Trailers/support omitted</x:v>
      </x:c>
    </x:row>
    <x:row r="10">
      <x:c r="A10" s="54" t="str">
        <x:v>Earthworks fleet</x:v>
      </x:c>
      <x:c r="B10" s="54" t="str">
        <x:v>Machine mass</x:v>
      </x:c>
      <x:c r="C10" s="54" t="n">
        <x:v>1</x:v>
      </x:c>
      <x:c r="D10" s="63" t="n">
        <x:f>'Earthworks Material'!$H$8</x:f>
        <x:v>6600</x:v>
      </x:c>
      <x:c r="E10" s="56" t="n">
        <x:v>0.8</x:v>
      </x:c>
      <x:c r="F10" s="63" t="n">
        <x:f>D10*(1-E10)</x:f>
        <x:v>1319.9999999999998</x:v>
      </x:c>
      <x:c r="G10" s="54" t="str">
        <x:v>Attachments omitted</x:v>
      </x:c>
    </x:row>
    <x:row r="11">
      <x:c r="A11" s="54" t="str">
        <x:v>Pump power plant</x:v>
      </x:c>
      <x:c r="B11" s="54" t="str">
        <x:v>Selected MW × 40 t/MW</x:v>
      </x:c>
      <x:c r="C11" s="54" t="n">
        <x:v>1</x:v>
      </x:c>
      <x:c r="D11" s="63" t="n">
        <x:f>'Controls'!$C$53*40</x:f>
        <x:v>1200</x:v>
      </x:c>
      <x:c r="E11" s="56" t="n">
        <x:v>0.2</x:v>
      </x:c>
      <x:c r="F11" s="63" t="n">
        <x:f>D11*(1-E11)</x:f>
        <x:v>960</x:v>
      </x:c>
      <x:c r="G11" s="54" t="str">
        <x:v>Dry source and distribution</x:v>
      </x:c>
    </x:row>
    <x:row r="12">
      <x:c r="A12" s="54" t="str">
        <x:v>Water quality plant</x:v>
      </x:c>
      <x:c r="B12" s="54" t="str">
        <x:v>Formation case</x:v>
      </x:c>
      <x:c r="C12" s="54" t="n">
        <x:v>1</x:v>
      </x:c>
      <x:c r="D12" s="63" t="n">
        <x:f>IF('Controls'!$C$5="FIN Regional Cell",800,IF('Controls'!$C$5="Inland HCG-100",5000,6500))</x:f>
        <x:v>5000</x:v>
      </x:c>
      <x:c r="E12" s="56" t="n">
        <x:v>0.1</x:v>
      </x:c>
      <x:c r="F12" s="63" t="n">
        <x:f>D12*(1-E12)</x:f>
        <x:v>4500</x:v>
      </x:c>
      <x:c r="G12" s="54" t="str">
        <x:v>Treatment/containment package</x:v>
      </x:c>
    </x:row>
    <x:row r="13">
      <x:c r="A13" s="54" t="str">
        <x:v>Sensors and survey</x:v>
      </x:c>
      <x:c r="B13" s="54" t="str">
        <x:v>Team-scaled</x:v>
      </x:c>
      <x:c r="C13" s="54" t="n">
        <x:v>1</x:v>
      </x:c>
      <x:c r="D13" s="63" t="n">
        <x:f>'Controls'!$C$52*40</x:f>
        <x:v>640</x:v>
      </x:c>
      <x:c r="E13" s="56" t="n">
        <x:v>0.4</x:v>
      </x:c>
      <x:c r="F13" s="63" t="n">
        <x:f>D13*(1-E13)</x:f>
        <x:v>384</x:v>
      </x:c>
      <x:c r="G13" s="54" t="str">
        <x:v>Includes autonomous scouts</x:v>
      </x:c>
    </x:row>
    <x:row r="14">
      <x:c r="A14" s="54" t="str">
        <x:v>Workshops and spares</x:v>
      </x:c>
      <x:c r="B14" s="54" t="str">
        <x:v>15% machinery</x:v>
      </x:c>
      <x:c r="C14" s="54" t="n">
        <x:v>1</x:v>
      </x:c>
      <x:c r="D14" s="63" t="n">
        <x:f>SUM(D5,D7,D9,D10)*0.15</x:f>
        <x:v>2949.9</x:v>
      </x:c>
      <x:c r="E14" s="56" t="n">
        <x:v>0.1</x:v>
      </x:c>
      <x:c r="F14" s="63" t="n">
        <x:f>D14*(1-E14)</x:f>
        <x:v>2654.9100000000003</x:v>
      </x:c>
      <x:c r="G14" s="54" t="str">
        <x:v>Provisional</x:v>
      </x:c>
    </x:row>
    <x:row r="15">
      <x:c r="A15" s="54" t="str">
        <x:v>Rescue base and decontamination</x:v>
      </x:c>
      <x:c r="B15" s="54" t="str">
        <x:v>Formation case</x:v>
      </x:c>
      <x:c r="C15" s="54" t="n">
        <x:v>1</x:v>
      </x:c>
      <x:c r="D15" s="63" t="n">
        <x:f>IF('Controls'!$C$5="FIN Regional Cell",600,IF('Controls'!$C$5="Inland HCG-100",4000,5000))</x:f>
        <x:v>4000</x:v>
      </x:c>
      <x:c r="E15" s="56" t="n">
        <x:v>0.2</x:v>
      </x:c>
      <x:c r="F15" s="63" t="n">
        <x:f>D15*(1-E15)</x:f>
        <x:v>3200</x:v>
      </x:c>
      <x:c r="G15" s="54" t="str">
        <x:v>Crew support</x:v>
      </x:c>
    </x:row>
    <x:row r="16">
      <x:c r="A16" s="54" t="str">
        <x:v>Command and sustainment</x:v>
      </x:c>
      <x:c r="B16" s="54" t="str">
        <x:v>Selected package</x:v>
      </x:c>
      <x:c r="C16" s="54" t="n">
        <x:v>1</x:v>
      </x:c>
      <x:c r="D16" s="63" t="n">
        <x:f>'Controls'!$C$54</x:f>
        <x:v>5000</x:v>
      </x:c>
      <x:c r="E16" s="56" t="n">
        <x:v>0.3</x:v>
      </x:c>
      <x:c r="F16" s="63" t="n">
        <x:f>D16*(1-E16)</x:f>
        <x:v>3500</x:v>
      </x:c>
      <x:c r="G16" s="54" t="str">
        <x:v>Common support</x:v>
      </x:c>
    </x:row>
    <x:row r="17">
      <x:c r="A17" s="54"/>
      <x:c r="B17" s="54"/>
      <x:c r="C17" s="54"/>
      <x:c r="D17" s="63"/>
      <x:c r="E17" s="54"/>
      <x:c r="F17" s="63"/>
      <x:c r="G17" s="54"/>
    </x:row>
    <x:row r="18">
      <x:c r="A18" s="54" t="str">
        <x:v>Subtotal</x:v>
      </x:c>
      <x:c r="B18" s="54"/>
      <x:c r="C18" s="54"/>
      <x:c r="D18" s="63" t="n">
        <x:f>SUM(D5:D16)</x:f>
        <x:v>69035.9</x:v>
      </x:c>
      <x:c r="E18" s="54"/>
      <x:c r="F18" s="63" t="n">
        <x:f>SUM(F5:F16)</x:f>
        <x:v>58125.310000000005</x:v>
      </x:c>
      <x:c r="G18" s="54" t="str">
        <x:v>Before contingency</x:v>
      </x:c>
    </x:row>
    <x:row r="19">
      <x:c r="A19" s="54" t="str">
        <x:v>Manifest contingency</x:v>
      </x:c>
      <x:c r="B19" s="54"/>
      <x:c r="C19" s="54"/>
      <x:c r="D19" s="67" t="n">
        <x:f>'Controls'!$C$11</x:f>
        <x:v>0.15</x:v>
      </x:c>
      <x:c r="E19" s="54"/>
      <x:c r="F19" s="63"/>
      <x:c r="G19" s="54" t="str">
        <x:v>Applied to dry subtotal</x:v>
      </x:c>
    </x:row>
    <x:row r="20">
      <x:c r="A20" s="54" t="str">
        <x:v>Total dry deployment</x:v>
      </x:c>
      <x:c r="B20" s="54"/>
      <x:c r="C20" s="54"/>
      <x:c r="D20" s="63" t="n">
        <x:f>D18*(1+D19)</x:f>
        <x:v>79391.28499999999</x:v>
      </x:c>
      <x:c r="E20" s="54"/>
      <x:c r="F20" s="63" t="n">
        <x:f>F18*(1+D19)</x:f>
        <x:v>66844.1065</x:v>
      </x:c>
      <x:c r="G20" s="54" t="str">
        <x:v>Configuration screen</x:v>
      </x:c>
    </x:row>
    <x:row r="21">
      <x:c r="A21" s="54"/>
      <x:c r="B21" s="54"/>
      <x:c r="C21" s="54"/>
      <x:c r="D21" s="54"/>
      <x:c r="E21" s="54"/>
      <x:c r="F21" s="54"/>
      <x:c r="G21" s="54"/>
    </x:row>
    <x:row r="22">
      <x:c r="A22" s="54"/>
      <x:c r="B22" s="54"/>
      <x:c r="C22" s="54"/>
      <x:c r="D22" s="54"/>
      <x:c r="E22" s="54"/>
      <x:c r="F22" s="54"/>
      <x:c r="G22" s="54"/>
    </x:row>
    <x:row r="23">
      <x:c r="A23" s="85" t="str">
        <x:v>Exclusions</x:v>
      </x:c>
      <x:c r="B23" s="85" t="str">
        <x:v>Operating fuel, water in barriers, local earth/rock, pumped water, daily consumables, route-specific bridge works and host-nation receiving infrastructure are excluded from dry deployment unless explicitly represented.</x:v>
      </x:c>
      <x:c r="C23" s="85"/>
      <x:c r="D23" s="85"/>
      <x:c r="E23" s="85"/>
      <x:c r="F23" s="85"/>
      <x:c r="G23" s="85"/>
    </x:row>
    <x:row r="24">
      <x:c r="A24" s="85"/>
      <x:c r="B24" s="85"/>
      <x:c r="C24" s="85"/>
      <x:c r="D24" s="85"/>
      <x:c r="E24" s="85"/>
      <x:c r="F24" s="85"/>
      <x:c r="G24" s="85"/>
    </x:row>
  </x:sheetData>
  <x:mergeCells>
    <x:mergeCell ref="A1:G1"/>
    <x:mergeCell ref="A2:G2"/>
    <x:mergeCell ref="B23:G2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23" hidden="0" customWidth="1"/>
    <x:col min="4" max="4" width="12" hidden="0" customWidth="1"/>
    <x:col min="5" max="5" width="15" hidden="0" customWidth="1"/>
    <x:col min="6" max="6" width="18" hidden="0" customWidth="1"/>
    <x:col min="7" max="7" width="20" hidden="0" customWidth="1"/>
    <x:col min="8" max="8" width="18" hidden="0" customWidth="1"/>
    <x:col min="9" max="9" width="23" hidden="0" customWidth="1"/>
  </x:cols>
  <x:sheetData>
    <x:row r="1" ht="24" customHeight="1">
      <x:c r="A1" s="52" t="str">
        <x:v>Shift-complete workforce and institutional depth</x:v>
      </x:c>
      <x:c r="B1" s="53"/>
      <x:c r="C1" s="53"/>
      <x:c r="D1" s="53"/>
      <x:c r="E1" s="53"/>
      <x:c r="F1" s="53"/>
      <x:c r="G1" s="53"/>
      <x:c r="H1" s="53"/>
      <x:c r="I1" s="53"/>
    </x:row>
    <x:row r="2" ht="28" customHeight="1">
      <x:c r="A2" s="38" t="str">
        <x:v>Direct positions are multiplied by units, shifts and relief. Common support and institutional rotation are explicit.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</x:row>
    <x:row r="4">
      <x:c r="A4" s="40" t="str">
        <x:v>Function</x:v>
      </x:c>
      <x:c r="B4" s="41" t="str">
        <x:v>Units</x:v>
      </x:c>
      <x:c r="C4" s="41" t="str">
        <x:v>Positions/unit/shift</x:v>
      </x:c>
      <x:c r="D4" s="41" t="str">
        <x:v>Shifts</x:v>
      </x:c>
      <x:c r="E4" s="41" t="str">
        <x:v>Relief factor</x:v>
      </x:c>
      <x:c r="F4" s="41" t="str">
        <x:v>Direct deployed</x:v>
      </x:c>
      <x:c r="G4" s="41" t="str">
        <x:v>Rotation multiplier</x:v>
      </x:c>
      <x:c r="H4" s="41" t="str">
        <x:v>Service billets</x:v>
      </x:c>
      <x:c r="I4" s="42" t="str">
        <x:v>Evidence</x:v>
      </x:c>
    </x:row>
    <x:row r="5">
      <x:c r="A5" s="54" t="str">
        <x:v>Tactical pump crews</x:v>
      </x:c>
      <x:c r="B5" s="63" t="n">
        <x:f>'Controls'!$C$36</x:f>
        <x:v>20</x:v>
      </x:c>
      <x:c r="C5" s="55" t="n">
        <x:v>3</x:v>
      </x:c>
      <x:c r="D5" s="55" t="n">
        <x:v>3</x:v>
      </x:c>
      <x:c r="E5" s="57" t="n">
        <x:v>1.2</x:v>
      </x:c>
      <x:c r="F5" s="63" t="n">
        <x:f>B5*C5*D5*E5</x:f>
        <x:v>216</x:v>
      </x:c>
      <x:c r="G5" s="71" t="n">
        <x:f>'Controls'!$C$12</x:f>
        <x:v>3.75</x:v>
      </x:c>
      <x:c r="H5" s="63" t="n">
        <x:f>F5*G5</x:f>
        <x:v>810</x:v>
      </x:c>
      <x:c r="I5" s="54" t="str">
        <x:v>Assumption</x:v>
      </x:c>
    </x:row>
    <x:row r="6">
      <x:c r="A6" s="54" t="str">
        <x:v>Regional pump crews</x:v>
      </x:c>
      <x:c r="B6" s="63" t="n">
        <x:f>'Controls'!$C$37</x:f>
        <x:v>10</x:v>
      </x:c>
      <x:c r="C6" s="55" t="n">
        <x:v>8</x:v>
      </x:c>
      <x:c r="D6" s="55" t="n">
        <x:v>3</x:v>
      </x:c>
      <x:c r="E6" s="57" t="n">
        <x:v>1.2</x:v>
      </x:c>
      <x:c r="F6" s="63" t="n">
        <x:f>B6*C6*D6*E6</x:f>
        <x:v>288</x:v>
      </x:c>
      <x:c r="G6" s="71" t="n">
        <x:f>'Controls'!$C$12</x:f>
        <x:v>3.75</x:v>
      </x:c>
      <x:c r="H6" s="63" t="n">
        <x:f>F6*G6</x:f>
        <x:v>1080</x:v>
      </x:c>
      <x:c r="I6" s="54" t="str">
        <x:v>Assumption</x:v>
      </x:c>
    </x:row>
    <x:row r="7">
      <x:c r="A7" s="54" t="str">
        <x:v>Axial pump crews</x:v>
      </x:c>
      <x:c r="B7" s="63" t="n">
        <x:f>'Controls'!$C$38</x:f>
        <x:v>5</x:v>
      </x:c>
      <x:c r="C7" s="55" t="n">
        <x:v>12</x:v>
      </x:c>
      <x:c r="D7" s="55" t="n">
        <x:v>3</x:v>
      </x:c>
      <x:c r="E7" s="57" t="n">
        <x:v>1.2</x:v>
      </x:c>
      <x:c r="F7" s="63" t="n">
        <x:f>B7*C7*D7*E7</x:f>
        <x:v>216</x:v>
      </x:c>
      <x:c r="G7" s="71" t="n">
        <x:f>'Controls'!$C$12</x:f>
        <x:v>3.75</x:v>
      </x:c>
      <x:c r="H7" s="63" t="n">
        <x:f>F7*G7</x:f>
        <x:v>810</x:v>
      </x:c>
      <x:c r="I7" s="54" t="str">
        <x:v>Assumption</x:v>
      </x:c>
    </x:row>
    <x:row r="8">
      <x:c r="A8" s="54" t="str">
        <x:v>Barge pump crews</x:v>
      </x:c>
      <x:c r="B8" s="63" t="n">
        <x:f>'Controls'!$C$39</x:f>
        <x:v>1</x:v>
      </x:c>
      <x:c r="C8" s="55" t="n">
        <x:v>20</x:v>
      </x:c>
      <x:c r="D8" s="55" t="n">
        <x:v>3</x:v>
      </x:c>
      <x:c r="E8" s="57" t="n">
        <x:v>1.2</x:v>
      </x:c>
      <x:c r="F8" s="63" t="n">
        <x:f>B8*C8*D8*E8</x:f>
        <x:v>72</x:v>
      </x:c>
      <x:c r="G8" s="71" t="n">
        <x:f>'Controls'!$C$12</x:f>
        <x:v>3.75</x:v>
      </x:c>
      <x:c r="H8" s="63" t="n">
        <x:f>F8*G8</x:f>
        <x:v>270</x:v>
      </x:c>
      <x:c r="I8" s="54" t="str">
        <x:v>Assumption</x:v>
      </x:c>
    </x:row>
    <x:row r="9">
      <x:c r="A9" s="54" t="str">
        <x:v>Urban craft crews</x:v>
      </x:c>
      <x:c r="B9" s="63" t="n">
        <x:f>'Controls'!$C$45</x:f>
        <x:v>24</x:v>
      </x:c>
      <x:c r="C9" s="55" t="n">
        <x:v>3</x:v>
      </x:c>
      <x:c r="D9" s="55" t="n">
        <x:v>2</x:v>
      </x:c>
      <x:c r="E9" s="57" t="n">
        <x:v>1.2</x:v>
      </x:c>
      <x:c r="F9" s="63" t="n">
        <x:f>B9*C9*D9*E9</x:f>
        <x:v>172.79999999999998</x:v>
      </x:c>
      <x:c r="G9" s="71" t="n">
        <x:f>'Controls'!$C$12</x:f>
        <x:v>3.75</x:v>
      </x:c>
      <x:c r="H9" s="63" t="n">
        <x:f>F9*G9</x:f>
        <x:v>647.9999999999999</x:v>
      </x:c>
      <x:c r="I9" s="54" t="str">
        <x:v>Assumption</x:v>
      </x:c>
    </x:row>
    <x:row r="10">
      <x:c r="A10" s="54" t="str">
        <x:v>Swiftwater craft crews</x:v>
      </x:c>
      <x:c r="B10" s="63" t="n">
        <x:f>'Controls'!$C$46</x:f>
        <x:v>20</x:v>
      </x:c>
      <x:c r="C10" s="55" t="n">
        <x:v>4</x:v>
      </x:c>
      <x:c r="D10" s="55" t="n">
        <x:v>2</x:v>
      </x:c>
      <x:c r="E10" s="57" t="n">
        <x:v>1.25</x:v>
      </x:c>
      <x:c r="F10" s="63" t="n">
        <x:f>B10*C10*D10*E10</x:f>
        <x:v>200</x:v>
      </x:c>
      <x:c r="G10" s="71" t="n">
        <x:f>'Controls'!$C$12</x:f>
        <x:v>3.75</x:v>
      </x:c>
      <x:c r="H10" s="63" t="n">
        <x:f>F10*G10</x:f>
        <x:v>750</x:v>
      </x:c>
      <x:c r="I10" s="54" t="str">
        <x:v>Assumption</x:v>
      </x:c>
    </x:row>
    <x:row r="11">
      <x:c r="A11" s="54" t="str">
        <x:v>High-water carrier crews</x:v>
      </x:c>
      <x:c r="B11" s="63" t="n">
        <x:f>'Controls'!$C$47</x:f>
        <x:v>40</x:v>
      </x:c>
      <x:c r="C11" s="55" t="n">
        <x:v>2</x:v>
      </x:c>
      <x:c r="D11" s="55" t="n">
        <x:v>2</x:v>
      </x:c>
      <x:c r="E11" s="57" t="n">
        <x:v>1.2</x:v>
      </x:c>
      <x:c r="F11" s="63" t="n">
        <x:f>B11*C11*D11*E11</x:f>
        <x:v>192</x:v>
      </x:c>
      <x:c r="G11" s="71" t="n">
        <x:f>'Controls'!$C$12</x:f>
        <x:v>3.75</x:v>
      </x:c>
      <x:c r="H11" s="63" t="n">
        <x:f>F11*G11</x:f>
        <x:v>720</x:v>
      </x:c>
      <x:c r="I11" s="54" t="str">
        <x:v>Assumption</x:v>
      </x:c>
    </x:row>
    <x:row r="12">
      <x:c r="A12" s="54" t="str">
        <x:v>Heavy amphibious crews</x:v>
      </x:c>
      <x:c r="B12" s="63" t="n">
        <x:f>'Controls'!$C$48</x:f>
        <x:v>12</x:v>
      </x:c>
      <x:c r="C12" s="55" t="n">
        <x:v>4</x:v>
      </x:c>
      <x:c r="D12" s="55" t="n">
        <x:v>2</x:v>
      </x:c>
      <x:c r="E12" s="57" t="n">
        <x:v>1.2</x:v>
      </x:c>
      <x:c r="F12" s="63" t="n">
        <x:f>B12*C12*D12*E12</x:f>
        <x:v>115.19999999999999</x:v>
      </x:c>
      <x:c r="G12" s="71" t="n">
        <x:f>'Controls'!$C$12</x:f>
        <x:v>3.75</x:v>
      </x:c>
      <x:c r="H12" s="63" t="n">
        <x:f>F12*G12</x:f>
        <x:v>431.99999999999994</x:v>
      </x:c>
      <x:c r="I12" s="54" t="str">
        <x:v>Assumption</x:v>
      </x:c>
    </x:row>
    <x:row r="13">
      <x:c r="A13" s="54" t="str">
        <x:v>Coastal craft crews</x:v>
      </x:c>
      <x:c r="B13" s="63" t="n">
        <x:f>'Controls'!$C$49</x:f>
        <x:v>4</x:v>
      </x:c>
      <x:c r="C13" s="55" t="n">
        <x:v>5</x:v>
      </x:c>
      <x:c r="D13" s="55" t="n">
        <x:v>2</x:v>
      </x:c>
      <x:c r="E13" s="57" t="n">
        <x:v>1.25</x:v>
      </x:c>
      <x:c r="F13" s="63" t="n">
        <x:f>B13*C13*D13*E13</x:f>
        <x:v>50</x:v>
      </x:c>
      <x:c r="G13" s="71" t="n">
        <x:f>'Controls'!$C$12</x:f>
        <x:v>3.75</x:v>
      </x:c>
      <x:c r="H13" s="63" t="n">
        <x:f>F13*G13</x:f>
        <x:v>187.5</x:v>
      </x:c>
      <x:c r="I13" s="54" t="str">
        <x:v>Assumption</x:v>
      </x:c>
    </x:row>
    <x:row r="14">
      <x:c r="A14" s="54" t="str">
        <x:v>Crewed earthworks</x:v>
      </x:c>
      <x:c r="B14" s="63" t="n">
        <x:f>'Controls'!$C$50</x:f>
        <x:v>80</x:v>
      </x:c>
      <x:c r="C14" s="55" t="n">
        <x:v>1.5</x:v>
      </x:c>
      <x:c r="D14" s="55" t="n">
        <x:v>2</x:v>
      </x:c>
      <x:c r="E14" s="57" t="n">
        <x:v>1.2</x:v>
      </x:c>
      <x:c r="F14" s="63" t="n">
        <x:f>B14*C14*D14*E14</x:f>
        <x:v>288</x:v>
      </x:c>
      <x:c r="G14" s="71" t="n">
        <x:f>'Controls'!$C$12</x:f>
        <x:v>3.75</x:v>
      </x:c>
      <x:c r="H14" s="63" t="n">
        <x:f>F14*G14</x:f>
        <x:v>1080</x:v>
      </x:c>
      <x:c r="I14" s="54" t="str">
        <x:v>Assumption</x:v>
      </x:c>
    </x:row>
    <x:row r="15">
      <x:c r="A15" s="54" t="str">
        <x:v>Robotic earthworks</x:v>
      </x:c>
      <x:c r="B15" s="63" t="n">
        <x:f>'Controls'!$C$51</x:f>
        <x:v>60</x:v>
      </x:c>
      <x:c r="C15" s="55" t="n">
        <x:v>1.2</x:v>
      </x:c>
      <x:c r="D15" s="55" t="n">
        <x:v>2</x:v>
      </x:c>
      <x:c r="E15" s="57" t="n">
        <x:v>1.2</x:v>
      </x:c>
      <x:c r="F15" s="63" t="n">
        <x:f>B15*C15*D15*E15</x:f>
        <x:v>172.79999999999998</x:v>
      </x:c>
      <x:c r="G15" s="71" t="n">
        <x:f>'Controls'!$C$12</x:f>
        <x:v>3.75</x:v>
      </x:c>
      <x:c r="H15" s="63" t="n">
        <x:f>F15*G15</x:f>
        <x:v>647.9999999999999</x:v>
      </x:c>
      <x:c r="I15" s="54" t="str">
        <x:v>Assumption</x:v>
      </x:c>
    </x:row>
    <x:row r="16">
      <x:c r="A16" s="54" t="str">
        <x:v>Survey/intelligence teams</x:v>
      </x:c>
      <x:c r="B16" s="63" t="n">
        <x:f>'Controls'!$C$52</x:f>
        <x:v>16</x:v>
      </x:c>
      <x:c r="C16" s="55" t="n">
        <x:v>12</x:v>
      </x:c>
      <x:c r="D16" s="55" t="n">
        <x:v>3</x:v>
      </x:c>
      <x:c r="E16" s="57" t="n">
        <x:v>1.2</x:v>
      </x:c>
      <x:c r="F16" s="63" t="n">
        <x:f>B16*C16*D16*E16</x:f>
        <x:v>691.1999999999999</x:v>
      </x:c>
      <x:c r="G16" s="71" t="n">
        <x:f>'Controls'!$C$12</x:f>
        <x:v>3.75</x:v>
      </x:c>
      <x:c r="H16" s="63" t="n">
        <x:f>F16*G16</x:f>
        <x:v>2591.9999999999995</x:v>
      </x:c>
      <x:c r="I16" s="54" t="str">
        <x:v>Assumption</x:v>
      </x:c>
    </x:row>
    <x:row r="17">
      <x:c r="A17" s="54" t="str">
        <x:v>Environmental teams</x:v>
      </x:c>
      <x:c r="B17" s="63" t="n">
        <x:f>IF('Controls'!$C$5="FIN Regional Cell",2,12)</x:f>
        <x:v>12</x:v>
      </x:c>
      <x:c r="C17" s="55" t="n">
        <x:v>20</x:v>
      </x:c>
      <x:c r="D17" s="55" t="n">
        <x:v>3</x:v>
      </x:c>
      <x:c r="E17" s="57" t="n">
        <x:v>1.2</x:v>
      </x:c>
      <x:c r="F17" s="63" t="n">
        <x:f>B17*C17*D17*E17</x:f>
        <x:v>864</x:v>
      </x:c>
      <x:c r="G17" s="71" t="n">
        <x:f>'Controls'!$C$12</x:f>
        <x:v>3.75</x:v>
      </x:c>
      <x:c r="H17" s="63" t="n">
        <x:f>F17*G17</x:f>
        <x:v>3240</x:v>
      </x:c>
      <x:c r="I17" s="54" t="str">
        <x:v>Assumption</x:v>
      </x:c>
    </x:row>
    <x:row r="18">
      <x:c r="A18" s="54" t="str">
        <x:v>Barrier/breach teams</x:v>
      </x:c>
      <x:c r="B18" s="63" t="n">
        <x:f>MAX(1,ROUNDUP('Barrier Geometry Loads'!$C$10/5,0))</x:f>
        <x:v>4</x:v>
      </x:c>
      <x:c r="C18" s="55" t="n">
        <x:v>18</x:v>
      </x:c>
      <x:c r="D18" s="55" t="n">
        <x:v>2</x:v>
      </x:c>
      <x:c r="E18" s="57" t="n">
        <x:v>1.2</x:v>
      </x:c>
      <x:c r="F18" s="63" t="n">
        <x:f>B18*C18*D18*E18</x:f>
        <x:v>172.79999999999998</x:v>
      </x:c>
      <x:c r="G18" s="71" t="n">
        <x:f>'Controls'!$C$12</x:f>
        <x:v>3.75</x:v>
      </x:c>
      <x:c r="H18" s="63" t="n">
        <x:f>F18*G18</x:f>
        <x:v>647.9999999999999</x:v>
      </x:c>
      <x:c r="I18" s="54" t="str">
        <x:v>Assumption</x:v>
      </x:c>
    </x:row>
    <x:row r="19">
      <x:c r="A19" s="54" t="str">
        <x:v>Command, logistics and repair</x:v>
      </x:c>
      <x:c r="B19" s="63" t="n">
        <x:f>1</x:f>
        <x:v>1</x:v>
      </x:c>
      <x:c r="C19" s="55" t="n">
        <x:v>800</x:v>
      </x:c>
      <x:c r="D19" s="55" t="n">
        <x:v>2</x:v>
      </x:c>
      <x:c r="E19" s="57" t="n">
        <x:v>1.2</x:v>
      </x:c>
      <x:c r="F19" s="63" t="n">
        <x:f>B19*C19*D19*E19</x:f>
        <x:v>1920</x:v>
      </x:c>
      <x:c r="G19" s="71" t="n">
        <x:f>'Controls'!$C$12</x:f>
        <x:v>3.75</x:v>
      </x:c>
      <x:c r="H19" s="63" t="n">
        <x:f>F19*G19</x:f>
        <x:v>7200</x:v>
      </x:c>
      <x:c r="I19" s="54" t="str">
        <x:v>Assumption</x:v>
      </x:c>
    </x:row>
    <x:row r="20">
      <x:c r="A20" s="54"/>
      <x:c r="B20" s="54"/>
      <x:c r="C20" s="54"/>
      <x:c r="D20" s="54"/>
      <x:c r="E20" s="54"/>
      <x:c r="F20" s="63"/>
      <x:c r="G20" s="63"/>
      <x:c r="H20" s="63"/>
      <x:c r="I20" s="54"/>
    </x:row>
    <x:row r="21">
      <x:c r="A21" s="54" t="str">
        <x:v>Direct total</x:v>
      </x:c>
      <x:c r="B21" s="54"/>
      <x:c r="C21" s="54"/>
      <x:c r="D21" s="54"/>
      <x:c r="E21" s="54"/>
      <x:c r="F21" s="63" t="n">
        <x:f>SUM(F5:F19)</x:f>
        <x:v>5630.8</x:v>
      </x:c>
      <x:c r="G21" s="63"/>
      <x:c r="H21" s="63" t="n">
        <x:f>SUM(H5:H19)</x:f>
        <x:v>21115.5</x:v>
      </x:c>
      <x:c r="I21" s="54" t="str">
        <x:v>Before common support</x:v>
      </x:c>
    </x:row>
    <x:row r="22">
      <x:c r="A22" s="54" t="str">
        <x:v>Common support</x:v>
      </x:c>
      <x:c r="B22" s="54"/>
      <x:c r="C22" s="54"/>
      <x:c r="D22" s="54"/>
      <x:c r="E22" s="54"/>
      <x:c r="F22" s="63" t="n">
        <x:f>F21*'Controls'!$C$17</x:f>
        <x:v>1407.7</x:v>
      </x:c>
      <x:c r="G22" s="63"/>
      <x:c r="H22" s="63" t="n">
        <x:f>F22*'Controls'!$C$12</x:f>
        <x:v>5278.875</x:v>
      </x:c>
      <x:c r="I22" s="54" t="str">
        <x:v>Health, command, logistics, maintenance</x:v>
      </x:c>
    </x:row>
    <x:row r="23">
      <x:c r="A23" s="54" t="str">
        <x:v>Total establishment</x:v>
      </x:c>
      <x:c r="B23" s="54"/>
      <x:c r="C23" s="54"/>
      <x:c r="D23" s="54"/>
      <x:c r="E23" s="54"/>
      <x:c r="F23" s="63" t="n">
        <x:f>F21+F22</x:f>
        <x:v>7038.5</x:v>
      </x:c>
      <x:c r="G23" s="63"/>
      <x:c r="H23" s="63" t="n">
        <x:f>H21+H22</x:f>
        <x:v>26394.375</x:v>
      </x:c>
      <x:c r="I23" s="54" t="str">
        <x:v>Workforce screen</x:v>
      </x:c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17" hidden="0" customWidth="1"/>
    <x:col min="10" max="10" width="27" hidden="0" customWidth="1"/>
  </x:cols>
  <x:sheetData>
    <x:row r="1" ht="24" customHeight="1">
      <x:c r="A1" s="52" t="str">
        <x:v>National readiness and concurrency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National package counts and pump-family order of battle are explicit force assumptions, not optimized posture.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Package</x:v>
      </x:c>
      <x:c r="B4" s="41" t="str">
        <x:v>Planned</x:v>
      </x:c>
      <x:c r="C4" s="41" t="str">
        <x:v>Readiness</x:v>
      </x:c>
      <x:c r="D4" s="41" t="str">
        <x:v>Ready now</x:v>
      </x:c>
      <x:c r="E4" s="41" t="str">
        <x:v>Required concurrent</x:v>
      </x:c>
      <x:c r="F4" s="41" t="str">
        <x:v>Residual ready</x:v>
      </x:c>
      <x:c r="G4" s="42" t="str">
        <x:v>State</x:v>
      </x:c>
      <x:c r="H4" s="54"/>
      <x:c r="I4" s="54"/>
      <x:c r="J4" s="54"/>
    </x:row>
    <x:row r="5">
      <x:c r="A5" s="54" t="str">
        <x:v>FIN Regional Cell</x:v>
      </x:c>
      <x:c r="B5" s="55" t="n">
        <x:v>40</x:v>
      </x:c>
      <x:c r="C5" s="67" t="n">
        <x:f>'Controls'!$C$18</x:f>
        <x:v>0.8</x:v>
      </x:c>
      <x:c r="D5" s="63" t="n">
        <x:f>FLOOR(B5*C5,1)</x:f>
        <x:v>32</x:v>
      </x:c>
      <x:c r="E5" s="55" t="n">
        <x:v>20</x:v>
      </x:c>
      <x:c r="F5" s="63" t="n">
        <x:f>D5-E5</x:f>
        <x:v>12</x:v>
      </x:c>
      <x:c r="G5" s="63" t="str">
        <x:f>IF(F5&gt;=0,"Meets count","Shortfall")</x:f>
        <x:v>Meets count</x:v>
      </x:c>
      <x:c r="H5" s="54"/>
      <x:c r="I5" s="54"/>
      <x:c r="J5" s="54"/>
    </x:row>
    <x:row r="6">
      <x:c r="A6" s="54" t="str">
        <x:v>Inland HCG-100</x:v>
      </x:c>
      <x:c r="B6" s="55" t="n">
        <x:v>10</x:v>
      </x:c>
      <x:c r="C6" s="67" t="n">
        <x:f>'Controls'!$C$19</x:f>
        <x:v>0.75</x:v>
      </x:c>
      <x:c r="D6" s="63" t="n">
        <x:f>FLOOR(B6*C6,1)</x:f>
        <x:v>7</x:v>
      </x:c>
      <x:c r="E6" s="55" t="n">
        <x:v>4</x:v>
      </x:c>
      <x:c r="F6" s="63" t="n">
        <x:f>D6-E6</x:f>
        <x:v>3</x:v>
      </x:c>
      <x:c r="G6" s="63" t="str">
        <x:f>IF(F6&gt;=0,"Meets count","Shortfall")</x:f>
        <x:v>Meets count</x:v>
      </x:c>
      <x:c r="H6" s="54"/>
      <x:c r="I6" s="54"/>
      <x:c r="J6" s="54"/>
    </x:row>
    <x:row r="7">
      <x:c r="A7" s="54" t="str">
        <x:v>Coastal HCG-100</x:v>
      </x:c>
      <x:c r="B7" s="55" t="n">
        <x:v>6</x:v>
      </x:c>
      <x:c r="C7" s="67" t="n">
        <x:f>'Controls'!$C$19</x:f>
        <x:v>0.75</x:v>
      </x:c>
      <x:c r="D7" s="63" t="n">
        <x:f>FLOOR(B7*C7,1)</x:f>
        <x:v>4</x:v>
      </x:c>
      <x:c r="E7" s="55" t="n">
        <x:v>2</x:v>
      </x:c>
      <x:c r="F7" s="63" t="n">
        <x:f>D7-E7</x:f>
        <x:v>2</x:v>
      </x:c>
      <x:c r="G7" s="63" t="str">
        <x:f>IF(F7&gt;=0,"Meets count","Shortfall")</x:f>
        <x:v>Meets count</x:v>
      </x:c>
      <x:c r="H7" s="54"/>
      <x:c r="I7" s="54"/>
      <x:c r="J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</x:row>
    <x:row r="10">
      <x:c r="A10" s="60" t="str">
        <x:v>Illustrative national pump order of battle</x:v>
      </x:c>
      <x:c r="B10" s="61"/>
      <x:c r="C10" s="61"/>
      <x:c r="D10" s="61"/>
      <x:c r="E10" s="61"/>
      <x:c r="F10" s="61"/>
      <x:c r="G10" s="61"/>
      <x:c r="H10" s="61"/>
      <x:c r="I10" s="61"/>
      <x:c r="J10" s="62"/>
    </x:row>
    <x:row r="11">
      <x:c r="A11" s="40" t="str">
        <x:v>Class</x:v>
      </x:c>
      <x:c r="B11" s="41" t="str">
        <x:v>Units/FIN</x:v>
      </x:c>
      <x:c r="C11" s="41" t="str">
        <x:v>Units/Inland</x:v>
      </x:c>
      <x:c r="D11" s="41" t="str">
        <x:v>Units/Coastal</x:v>
      </x:c>
      <x:c r="E11" s="41" t="str">
        <x:v>Baseline units</x:v>
      </x:c>
      <x:c r="F11" s="41" t="str">
        <x:v>Procurement reserve</x:v>
      </x:c>
      <x:c r="G11" s="41" t="str">
        <x:v>Owned units</x:v>
      </x:c>
      <x:c r="H11" s="41" t="str">
        <x:v>Unit cost ($M)</x:v>
      </x:c>
      <x:c r="I11" s="41" t="str">
        <x:v>Acquisition ($B)</x:v>
      </x:c>
      <x:c r="J11" s="42" t="str">
        <x:v>Limit</x:v>
      </x:c>
    </x:row>
    <x:row r="12">
      <x:c r="A12" s="54" t="str">
        <x:v>Tactical</x:v>
      </x:c>
      <x:c r="B12" s="55" t="n">
        <x:v>8</x:v>
      </x:c>
      <x:c r="C12" s="55" t="n">
        <x:v>20</x:v>
      </x:c>
      <x:c r="D12" s="55" t="n">
        <x:v>16</x:v>
      </x:c>
      <x:c r="E12" s="63" t="n">
        <x:f>B12*$B$5+C12*$B$6+D12*$B$7</x:f>
        <x:v>616</x:v>
      </x:c>
      <x:c r="F12" s="67" t="n">
        <x:f>'Controls'!$C$13</x:f>
        <x:v>0.25</x:v>
      </x:c>
      <x:c r="G12" s="63" t="n">
        <x:f>ROUNDUP(E12*(1+F12),0)</x:f>
        <x:v>770</x:v>
      </x:c>
      <x:c r="H12" s="55" t="n">
        <x:v>8</x:v>
      </x:c>
      <x:c r="I12" s="63" t="n">
        <x:f>G12*H12/1000</x:f>
        <x:v>6.16</x:v>
      </x:c>
      <x:c r="J12" s="54" t="str">
        <x:v>Airframe-style hardware screen only</x:v>
      </x:c>
    </x:row>
    <x:row r="13">
      <x:c r="A13" s="54" t="str">
        <x:v>Regional</x:v>
      </x:c>
      <x:c r="B13" s="55" t="n">
        <x:v>2</x:v>
      </x:c>
      <x:c r="C13" s="55" t="n">
        <x:v>10</x:v>
      </x:c>
      <x:c r="D13" s="55" t="n">
        <x:v>8</x:v>
      </x:c>
      <x:c r="E13" s="63" t="n">
        <x:f>B13*$B$5+C13*$B$6+D13*$B$7</x:f>
        <x:v>228</x:v>
      </x:c>
      <x:c r="F13" s="67" t="n">
        <x:f>'Controls'!$C$13</x:f>
        <x:v>0.25</x:v>
      </x:c>
      <x:c r="G13" s="63" t="n">
        <x:f>ROUNDUP(E13*(1+F13),0)</x:f>
        <x:v>285</x:v>
      </x:c>
      <x:c r="H13" s="55" t="n">
        <x:v>45</x:v>
      </x:c>
      <x:c r="I13" s="63" t="n">
        <x:f>G13*H13/1000</x:f>
        <x:v>12.825</x:v>
      </x:c>
      <x:c r="J13" s="54" t="str">
        <x:v>Excludes RDT&amp;E and support</x:v>
      </x:c>
    </x:row>
    <x:row r="14">
      <x:c r="A14" s="54" t="str">
        <x:v>Axial</x:v>
      </x:c>
      <x:c r="B14" s="55" t="n">
        <x:v>0</x:v>
      </x:c>
      <x:c r="C14" s="55" t="n">
        <x:v>5</x:v>
      </x:c>
      <x:c r="D14" s="55" t="n">
        <x:v>4</x:v>
      </x:c>
      <x:c r="E14" s="63" t="n">
        <x:f>B14*$B$5+C14*$B$6+D14*$B$7</x:f>
        <x:v>74</x:v>
      </x:c>
      <x:c r="F14" s="67" t="n">
        <x:f>'Controls'!$C$13</x:f>
        <x:v>0.25</x:v>
      </x:c>
      <x:c r="G14" s="63" t="n">
        <x:f>ROUNDUP(E14*(1+F14),0)</x:f>
        <x:v>93</x:v>
      </x:c>
      <x:c r="H14" s="55" t="n">
        <x:v>110</x:v>
      </x:c>
      <x:c r="I14" s="63" t="n">
        <x:f>G14*H14/1000</x:f>
        <x:v>10.23</x:v>
      </x:c>
      <x:c r="J14" s="54" t="str">
        <x:v>Excludes infrastructure</x:v>
      </x:c>
    </x:row>
    <x:row r="15">
      <x:c r="A15" s="54" t="str">
        <x:v>Barge</x:v>
      </x:c>
      <x:c r="B15" s="55" t="n">
        <x:v>0</x:v>
      </x:c>
      <x:c r="C15" s="55" t="n">
        <x:v>1</x:v>
      </x:c>
      <x:c r="D15" s="55" t="n">
        <x:v>2</x:v>
      </x:c>
      <x:c r="E15" s="63" t="n">
        <x:f>B15*$B$5+C15*$B$6+D15*$B$7</x:f>
        <x:v>22</x:v>
      </x:c>
      <x:c r="F15" s="67" t="n">
        <x:f>'Controls'!$C$13</x:f>
        <x:v>0.25</x:v>
      </x:c>
      <x:c r="G15" s="63" t="n">
        <x:f>ROUNDUP(E15*(1+F15),0)</x:f>
        <x:v>28</x:v>
      </x:c>
      <x:c r="H15" s="55" t="n">
        <x:v>220</x:v>
      </x:c>
      <x:c r="I15" s="63" t="n">
        <x:f>G15*H15/1000</x:f>
        <x:v>6.16</x:v>
      </x:c>
      <x:c r="J15" s="54" t="str">
        <x:v>Excludes carriers</x:v>
      </x:c>
    </x:row>
    <x:row r="16">
      <x:c r="A16" s="54"/>
      <x:c r="B16" s="54"/>
      <x:c r="C16" s="54"/>
      <x:c r="D16" s="54"/>
      <x:c r="E16" s="63"/>
      <x:c r="F16" s="63"/>
      <x:c r="G16" s="63"/>
      <x:c r="H16" s="54"/>
      <x:c r="I16" s="63"/>
      <x:c r="J16" s="54"/>
    </x:row>
    <x:row r="17">
      <x:c r="A17" s="54" t="str">
        <x:v>Total</x:v>
      </x:c>
      <x:c r="B17" s="54"/>
      <x:c r="C17" s="54"/>
      <x:c r="D17" s="54"/>
      <x:c r="E17" s="63" t="n">
        <x:f>SUM(E12:E15)</x:f>
        <x:v>940</x:v>
      </x:c>
      <x:c r="F17" s="63"/>
      <x:c r="G17" s="63" t="n">
        <x:f>SUM(G12:G15)</x:f>
        <x:v>1176</x:v>
      </x:c>
      <x:c r="H17" s="54"/>
      <x:c r="I17" s="63" t="n">
        <x:f>SUM(I12:I15)</x:f>
        <x:v>35.375</x:v>
      </x:c>
      <x:c r="J17" s="54" t="str">
        <x:v>Pump hardware screen</x:v>
      </x:c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3" hidden="0" customWidth="1"/>
    <x:col min="4" max="4" width="12" hidden="0" customWidth="1"/>
    <x:col min="5" max="5" width="13" hidden="0" customWidth="1"/>
    <x:col min="6" max="6" width="21" hidden="0" customWidth="1"/>
    <x:col min="7" max="7" width="19" hidden="0" customWidth="1"/>
    <x:col min="8" max="8" width="16" hidden="0" customWidth="1"/>
    <x:col min="9" max="9" width="17" hidden="0" customWidth="1"/>
    <x:col min="10" max="10" width="12" hidden="0" customWidth="1"/>
    <x:col min="11" max="11" width="17" hidden="0" customWidth="1"/>
    <x:col min="12" max="12" width="16" hidden="0" customWidth="1"/>
    <x:col min="13" max="13" width="32" hidden="0" customWidth="1"/>
    <x:col min="14" max="14" width="26" hidden="0" customWidth="1"/>
  </x:cols>
  <x:sheetData>
    <x:row r="1" ht="24" customHeight="1">
      <x:c r="A1" s="52" t="str">
        <x:v>Riverine and coastal hydraulic works carriers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38" t="str">
        <x:v>Carriers are mobile work bases. They do not receive hydraulic credit without shore routes, crews, power and discharge interfaces.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40" t="str">
        <x:v>Concept</x:v>
      </x:c>
      <x:c r="B4" s="41" t="str">
        <x:v>Status</x:v>
      </x:c>
      <x:c r="C4" s="41" t="str">
        <x:v>Displacement/payload (t)</x:v>
      </x:c>
      <x:c r="D4" s="41" t="str">
        <x:v>Draft (m)</x:v>
      </x:c>
      <x:c r="E4" s="41" t="str">
        <x:v>Air draft (m)</x:v>
      </x:c>
      <x:c r="F4" s="41" t="str">
        <x:v>Pump support (m³/s)</x:v>
      </x:c>
      <x:c r="G4" s="41" t="str">
        <x:v>Electric power (MW)</x:v>
      </x:c>
      <x:c r="H4" s="41" t="str">
        <x:v>Heavy lift (t)</x:v>
      </x:c>
      <x:c r="I4" s="41" t="str">
        <x:v>Autonomous craft</x:v>
      </x:c>
      <x:c r="J4" s="41" t="str">
        <x:v>Crew</x:v>
      </x:c>
      <x:c r="K4" s="41" t="str">
        <x:v>Endurance (days)</x:v>
      </x:c>
      <x:c r="L4" s="41" t="str">
        <x:v>Unit cost ($B)</x:v>
      </x:c>
      <x:c r="M4" s="41" t="str">
        <x:v>Primary constraint</x:v>
      </x:c>
      <x:c r="N4" s="42" t="str">
        <x:v>R3 state</x:v>
      </x:c>
    </x:row>
    <x:row r="5">
      <x:c r="A5" s="54" t="str">
        <x:v>Riverine modular works carrier</x:v>
      </x:c>
      <x:c r="B5" s="54" t="str">
        <x:v>Admitted exploration</x:v>
      </x:c>
      <x:c r="C5" s="55" t="n">
        <x:v>8000</x:v>
      </x:c>
      <x:c r="D5" s="55" t="n">
        <x:v>2.5</x:v>
      </x:c>
      <x:c r="E5" s="55" t="n">
        <x:v>12</x:v>
      </x:c>
      <x:c r="F5" s="55" t="n">
        <x:v>30</x:v>
      </x:c>
      <x:c r="G5" s="55" t="n">
        <x:v>20</x:v>
      </x:c>
      <x:c r="H5" s="55" t="n">
        <x:v>150</x:v>
      </x:c>
      <x:c r="I5" s="55" t="n">
        <x:v>12</x:v>
      </x:c>
      <x:c r="J5" s="55" t="n">
        <x:v>140</x:v>
      </x:c>
      <x:c r="K5" s="55" t="n">
        <x:v>30</x:v>
      </x:c>
      <x:c r="L5" s="55" t="n">
        <x:v>1.2</x:v>
      </x:c>
      <x:c r="M5" s="54" t="str">
        <x:v>Locks, banks, current, modularity</x:v>
      </x:c>
      <x:c r="N5" s="54" t="str">
        <x:v>Open</x:v>
      </x:c>
    </x:row>
    <x:row r="6">
      <x:c r="A6" s="54" t="str">
        <x:v>Coastal hydraulic works ship</x:v>
      </x:c>
      <x:c r="B6" s="54" t="str">
        <x:v>Admitted exploration</x:v>
      </x:c>
      <x:c r="C6" s="55" t="n">
        <x:v>30000</x:v>
      </x:c>
      <x:c r="D6" s="55" t="n">
        <x:v>7</x:v>
      </x:c>
      <x:c r="E6" s="55" t="n">
        <x:v>35</x:v>
      </x:c>
      <x:c r="F6" s="55" t="n">
        <x:v>60</x:v>
      </x:c>
      <x:c r="G6" s="55" t="n">
        <x:v>80</x:v>
      </x:c>
      <x:c r="H6" s="55" t="n">
        <x:v>300</x:v>
      </x:c>
      <x:c r="I6" s="55" t="n">
        <x:v>24</x:v>
      </x:c>
      <x:c r="J6" s="55" t="n">
        <x:v>260</x:v>
      </x:c>
      <x:c r="K6" s="55" t="n">
        <x:v>45</x:v>
      </x:c>
      <x:c r="L6" s="55" t="n">
        <x:v>3.5</x:v>
      </x:c>
      <x:c r="M6" s="54" t="str">
        <x:v>Port/shore route, sea state, corrosion</x:v>
      </x:c>
      <x:c r="N6" s="54" t="str">
        <x:v>Open</x:v>
      </x:c>
    </x:row>
    <x:row r="7">
      <x:c r="A7" s="54" t="str">
        <x:v>Nuclear coastal water-energy carrier</x:v>
      </x:c>
      <x:c r="B7" s="54" t="str">
        <x:v>Held</x:v>
      </x:c>
      <x:c r="C7" s="55" t="n">
        <x:v>60000</x:v>
      </x:c>
      <x:c r="D7" s="55" t="n">
        <x:v>9</x:v>
      </x:c>
      <x:c r="E7" s="55" t="n">
        <x:v>45</x:v>
      </x:c>
      <x:c r="F7" s="55" t="n">
        <x:v>80</x:v>
      </x:c>
      <x:c r="G7" s="55" t="n">
        <x:v>200</x:v>
      </x:c>
      <x:c r="H7" s="55" t="n">
        <x:v>400</x:v>
      </x:c>
      <x:c r="I7" s="55" t="n">
        <x:v>24</x:v>
      </x:c>
      <x:c r="J7" s="55" t="n">
        <x:v>420</x:v>
      </x:c>
      <x:c r="K7" s="55" t="n">
        <x:v>180</x:v>
      </x:c>
      <x:c r="L7" s="55" t="n">
        <x:v>8</x:v>
      </x:c>
      <x:c r="M7" s="54" t="str">
        <x:v>Licensing, security, heat, alternatives</x:v>
      </x:c>
      <x:c r="N7" s="54" t="str">
        <x:v>Held behind energy comparison</x:v>
      </x:c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</x:row>
    <x:row r="10">
      <x:c r="A10" s="60" t="str">
        <x:v>Selected carrier screen</x:v>
      </x:c>
      <x:c r="B10" s="61"/>
      <x:c r="C10" s="61"/>
      <x:c r="D10" s="61"/>
      <x:c r="E10" s="61"/>
      <x:c r="F10" s="62"/>
      <x:c r="G10" s="54"/>
      <x:c r="H10" s="54"/>
      <x:c r="I10" s="54"/>
      <x:c r="J10" s="54"/>
      <x:c r="K10" s="54"/>
      <x:c r="L10" s="54"/>
      <x:c r="M10" s="54"/>
      <x:c r="N10" s="54"/>
    </x:row>
    <x:row r="11">
      <x:c r="A11" s="40" t="str">
        <x:v>Measure</x:v>
      </x:c>
      <x:c r="B11" s="41" t="str">
        <x:v>Value</x:v>
      </x:c>
      <x:c r="C11" s="41" t="str">
        <x:v>Unit</x:v>
      </x:c>
      <x:c r="D11" s="41" t="str">
        <x:v>Rule</x:v>
      </x:c>
      <x:c r="E11" s="41" t="str">
        <x:v>Interpretation</x:v>
      </x:c>
      <x:c r="F11" s="42" t="str">
        <x:v>Limit</x:v>
      </x:c>
      <x:c r="G11" s="54"/>
      <x:c r="H11" s="54"/>
      <x:c r="I11" s="54"/>
      <x:c r="J11" s="54"/>
      <x:c r="K11" s="54"/>
      <x:c r="L11" s="54"/>
      <x:c r="M11" s="54"/>
      <x:c r="N11" s="54"/>
    </x:row>
    <x:row r="12">
      <x:c r="A12" s="54" t="str">
        <x:v>Formation carrier type</x:v>
      </x:c>
      <x:c r="B12" s="63" t="str">
        <x:f>IF('Controls'!$C$5="FIN Regional Cell","None",IF('Controls'!$C$5="Inland HCG-100",A5,A6))</x:f>
        <x:v>Riverine modular works carrier</x:v>
      </x:c>
      <x:c r="C12" s="54" t="str">
        <x:v>concept</x:v>
      </x:c>
      <x:c r="D12" s="54" t="str">
        <x:v>Formation mapping</x:v>
      </x:c>
      <x:c r="E12" s="54" t="str">
        <x:v>Support only</x:v>
      </x:c>
      <x:c r="F12" s="54" t="str"/>
      <x:c r="G12" s="54"/>
      <x:c r="H12" s="54"/>
      <x:c r="I12" s="54"/>
      <x:c r="J12" s="54"/>
      <x:c r="K12" s="54"/>
      <x:c r="L12" s="54"/>
      <x:c r="M12" s="54"/>
      <x:c r="N12" s="54"/>
    </x:row>
    <x:row r="13">
      <x:c r="A13" s="54" t="str">
        <x:v>Carrier pump support</x:v>
      </x:c>
      <x:c r="B13" s="63" t="n">
        <x:f>IF(B12="None",0,INDEX(F5:F7,MATCH(B12,A5:A7,0)))</x:f>
        <x:v>30</x:v>
      </x:c>
      <x:c r="C13" s="54" t="str">
        <x:v>m³/s</x:v>
      </x:c>
      <x:c r="D13" s="54" t="str">
        <x:v>Concept value</x:v>
      </x:c>
      <x:c r="E13" s="54" t="str">
        <x:v>Not added to group output</x:v>
      </x:c>
      <x:c r="F13" s="54" t="str">
        <x:v>Avoid double count</x:v>
      </x:c>
      <x:c r="G13" s="54"/>
      <x:c r="H13" s="54"/>
      <x:c r="I13" s="54"/>
      <x:c r="J13" s="54"/>
      <x:c r="K13" s="54"/>
      <x:c r="L13" s="54"/>
      <x:c r="M13" s="54"/>
      <x:c r="N13" s="54"/>
    </x:row>
    <x:row r="14">
      <x:c r="A14" s="54" t="str">
        <x:v>Carrier electric power</x:v>
      </x:c>
      <x:c r="B14" s="63" t="n">
        <x:f>IF(B12="None",0,INDEX(G5:G7,MATCH(B12,A5:A7,0)))</x:f>
        <x:v>20</x:v>
      </x:c>
      <x:c r="C14" s="54" t="str">
        <x:v>MW</x:v>
      </x:c>
      <x:c r="D14" s="54" t="str">
        <x:v>Concept value</x:v>
      </x:c>
      <x:c r="E14" s="54" t="str">
        <x:v>Support only</x:v>
      </x:c>
      <x:c r="F14" s="54" t="str">
        <x:v>Not power balance</x:v>
      </x:c>
      <x:c r="G14" s="54"/>
      <x:c r="H14" s="54"/>
      <x:c r="I14" s="54"/>
      <x:c r="J14" s="54"/>
      <x:c r="K14" s="54"/>
      <x:c r="L14" s="54"/>
      <x:c r="M14" s="54"/>
      <x:c r="N14" s="54"/>
    </x:row>
    <x:row r="15">
      <x:c r="A15" s="54" t="str">
        <x:v>Carrier capital screen</x:v>
      </x:c>
      <x:c r="B15" s="63" t="n">
        <x:f>IF(B12="None",0,INDEX(L5:L7,MATCH(B12,A5:A7,0)))</x:f>
        <x:v>1.2</x:v>
      </x:c>
      <x:c r="C15" s="54" t="str">
        <x:v>$B</x:v>
      </x:c>
      <x:c r="D15" s="54" t="str">
        <x:v>One carrier</x:v>
      </x:c>
      <x:c r="E15" s="54" t="str">
        <x:v>Not program cost</x:v>
      </x:c>
      <x:c r="F15" s="54" t="str">
        <x:v>Screen</x:v>
      </x:c>
      <x:c r="G15" s="54"/>
      <x:c r="H15" s="54"/>
      <x:c r="I15" s="54"/>
      <x:c r="J15" s="54"/>
      <x:c r="K15" s="54"/>
      <x:c r="L15" s="54"/>
      <x:c r="M15" s="54"/>
      <x:c r="N15" s="54"/>
    </x:row>
    <x:row r="16">
      <x:c r="A16" s="54" t="str">
        <x:v>Nuclear decision</x:v>
      </x:c>
      <x:c r="B16" s="63" t="str">
        <x:f>N7</x:f>
        <x:v>Held behind energy comparison</x:v>
      </x:c>
      <x:c r="C16" s="54" t="str">
        <x:v>state</x:v>
      </x:c>
      <x:c r="D16" s="54" t="str">
        <x:v>Evidence gate</x:v>
      </x:c>
      <x:c r="E16" s="54" t="str">
        <x:v>No selection</x:v>
      </x:c>
      <x:c r="F16" s="54" t="str">
        <x:v>Held</x:v>
      </x:c>
      <x:c r="G16" s="54"/>
      <x:c r="H16" s="54"/>
      <x:c r="I16" s="54"/>
      <x:c r="J16" s="54"/>
      <x:c r="K16" s="54"/>
      <x:c r="L16" s="54"/>
      <x:c r="M16" s="54"/>
      <x:c r="N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</x:row>
  </x:sheetData>
  <x:mergeCells>
    <x:mergeCell ref="A1:N1"/>
    <x:mergeCell ref="A2:N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3" hidden="0" customWidth="1"/>
    <x:col min="3" max="3" width="23" hidden="0" customWidth="1"/>
    <x:col min="4" max="4" width="27" hidden="0" customWidth="1"/>
    <x:col min="5" max="5" width="25" hidden="0" customWidth="1"/>
    <x:col min="6" max="6" width="28" hidden="0" customWidth="1"/>
    <x:col min="7" max="7" width="21" hidden="0" customWidth="1"/>
    <x:col min="8" max="8" width="29" hidden="0" customWidth="1"/>
    <x:col min="9" max="9" width="24" hidden="0" customWidth="1"/>
    <x:col min="10" max="10" width="12" hidden="0" customWidth="1"/>
  </x:cols>
  <x:sheetData>
    <x:row r="1" ht="24" customHeight="1">
      <x:c r="A1" s="52" t="str">
        <x:v>ARPA-R flood technology campaigns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28" customHeight="1">
      <x:c r="A2" s="38" t="str">
        <x:v>Programs pursue measurable changes to operational constraints. No capability enters force credit before representative evidence.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40" t="str">
        <x:v>Campaign</x:v>
      </x:c>
      <x:c r="B4" s="41" t="str">
        <x:v>Objective</x:v>
      </x:c>
      <x:c r="C4" s="41" t="str">
        <x:v>Current state</x:v>
      </x:c>
      <x:c r="D4" s="41" t="str">
        <x:v>5-year proof</x:v>
      </x:c>
      <x:c r="E4" s="41" t="str">
        <x:v>10-year transition</x:v>
      </x:c>
      <x:c r="F4" s="41" t="str">
        <x:v>25-year outcome</x:v>
      </x:c>
      <x:c r="G4" s="41" t="str">
        <x:v>Capital/RDT&amp;E ($B)</x:v>
      </x:c>
      <x:c r="H4" s="41" t="str">
        <x:v>Failure trigger</x:v>
      </x:c>
      <x:c r="I4" s="41" t="str">
        <x:v>Model variable</x:v>
      </x:c>
      <x:c r="J4" s="42" t="str">
        <x:v>Gate</x:v>
      </x:c>
    </x:row>
    <x:row r="5">
      <x:c r="A5" s="54" t="str">
        <x:v>Flood state in minutes</x:v>
      </x:c>
      <x:c r="B5" s="54" t="str">
        <x:v>Uncertainty-aware local hydraulic state</x:v>
      </x:c>
      <x:c r="C5" s="54" t="str">
        <x:v>Fragmented data</x:v>
      </x:c>
      <x:c r="D5" s="54" t="str">
        <x:v>Blind regional exercise</x:v>
      </x:c>
      <x:c r="E5" s="54" t="str">
        <x:v>Operational edge mesh</x:v>
      </x:c>
      <x:c r="F5" s="54" t="str">
        <x:v>Continuous national/local twin</x:v>
      </x:c>
      <x:c r="G5" s="55" t="n">
        <x:v>14</x:v>
      </x:c>
      <x:c r="H5" s="54" t="str">
        <x:v>Unsafe false confidence</x:v>
      </x:c>
      <x:c r="I5" s="54" t="str">
        <x:v>Action time and case state</x:v>
      </x:c>
      <x:c r="J5" s="54" t="str">
        <x:v>Open</x:v>
      </x:c>
    </x:row>
    <x:row r="6">
      <x:c r="A6" s="54" t="str">
        <x:v>Megaflow modular pumping</x:v>
      </x:c>
      <x:c r="B6" s="54" t="str">
        <x:v>1–15 m³/s common-drive modules</x:v>
      </x:c>
      <x:c r="C6" s="54" t="str">
        <x:v>Fixed and tactical systems</x:v>
      </x:c>
      <x:c r="D6" s="54" t="str">
        <x:v>Full curves and 30-day test</x:v>
      </x:c>
      <x:c r="E6" s="54" t="str">
        <x:v>First HCG battalion</x:v>
      </x:c>
      <x:c r="F6" s="54" t="str">
        <x:v>Multi-source mature fleet</x:v>
      </x:c>
      <x:c r="G6" s="55" t="n">
        <x:v>20</x:v>
      </x:c>
      <x:c r="H6" s="54" t="str">
        <x:v>Efficiency/solids/endurance miss</x:v>
      </x:c>
      <x:c r="I6" s="54" t="str">
        <x:v>Available pump flow</x:v>
      </x:c>
      <x:c r="J6" s="54" t="str">
        <x:v>Open</x:v>
      </x:c>
    </x:row>
    <x:row r="7">
      <x:c r="A7" s="54" t="str">
        <x:v>Rapid Drainage Spine</x:v>
      </x:c>
      <x:c r="B7" s="54" t="str">
        <x:v>1–2 m-class fast routes</x:v>
      </x:c>
      <x:c r="C7" s="54" t="str">
        <x:v>Ad hoc hose/pipe</x:v>
      </x:c>
      <x:c r="D7" s="54" t="str">
        <x:v>5 km instrumented route</x:v>
      </x:c>
      <x:c r="E7" s="54" t="str">
        <x:v>HCG route battalion</x:v>
      </x:c>
      <x:c r="F7" s="54" t="str">
        <x:v>Reusable national portfolio</x:v>
      </x:c>
      <x:c r="G7" s="55" t="n">
        <x:v>16</x:v>
      </x:c>
      <x:c r="H7" s="54" t="str">
        <x:v>Mass/setup/leak target miss</x:v>
      </x:c>
      <x:c r="I7" s="54" t="str">
        <x:v>Spine capacity and mass</x:v>
      </x:c>
      <x:c r="J7" s="54" t="str">
        <x:v>Open</x:v>
      </x:c>
    </x:row>
    <x:row r="8">
      <x:c r="A8" s="54" t="str">
        <x:v>Adaptive barriers</x:v>
      </x:c>
      <x:c r="B8" s="54" t="str">
        <x:v>Self-monitoring exclusion</x:v>
      </x:c>
      <x:c r="C8" s="54" t="str">
        <x:v>Sandbags and commercial systems</x:v>
      </x:c>
      <x:c r="D8" s="54" t="str">
        <x:v>Full load-history sections</x:v>
      </x:c>
      <x:c r="E8" s="54" t="str">
        <x:v>Regional FIN sets</x:v>
      </x:c>
      <x:c r="F8" s="54" t="str">
        <x:v>Common sockets and active control</x:v>
      </x:c>
      <x:c r="G8" s="55" t="n">
        <x:v>14</x:v>
      </x:c>
      <x:c r="H8" s="54" t="str">
        <x:v>Foundation/seepage failure</x:v>
      </x:c>
      <x:c r="I8" s="54" t="str">
        <x:v>Hold and interior drainage</x:v>
      </x:c>
      <x:c r="J8" s="54" t="str">
        <x:v>Open</x:v>
      </x:c>
    </x:row>
    <x:row r="9">
      <x:c r="A9" s="54" t="str">
        <x:v>Active breach arrest</x:v>
      </x:c>
      <x:c r="B9" s="54" t="str">
        <x:v>Reduce live breach flow</x:v>
      </x:c>
      <x:c r="C9" s="54" t="str">
        <x:v>Limited prototypes</x:v>
      </x:c>
      <x:c r="D9" s="54" t="str">
        <x:v>Destructive multi-soil tests</x:v>
      </x:c>
      <x:c r="E9" s="54" t="str">
        <x:v>Operational closure teams</x:v>
      </x:c>
      <x:c r="F9" s="54" t="str">
        <x:v>Scalable arrest family</x:v>
      </x:c>
      <x:c r="G9" s="55" t="n">
        <x:v>16</x:v>
      </x:c>
      <x:c r="H9" s="54" t="str">
        <x:v>Cannot reduce widening/flow</x:v>
      </x:c>
      <x:c r="I9" s="54" t="str">
        <x:v>Residual breach flow</x:v>
      </x:c>
      <x:c r="J9" s="54" t="str">
        <x:v>Open</x:v>
      </x:c>
    </x:row>
    <x:row r="10">
      <x:c r="A10" s="54" t="str">
        <x:v>Flood autonomy</x:v>
      </x:c>
      <x:c r="B10" s="54" t="str">
        <x:v>Mixed surface/underwater/aerial fleets</x:v>
      </x:c>
      <x:c r="C10" s="54" t="str">
        <x:v>Point systems</x:v>
      </x:c>
      <x:c r="D10" s="54" t="str">
        <x:v>Lost-link urban basin</x:v>
      </x:c>
      <x:c r="E10" s="54" t="str">
        <x:v>FIN/HCG scout fleets</x:v>
      </x:c>
      <x:c r="F10" s="54" t="str">
        <x:v>Certified cooperative autonomy</x:v>
      </x:c>
      <x:c r="G10" s="55" t="n">
        <x:v>10</x:v>
      </x:c>
      <x:c r="H10" s="54" t="str">
        <x:v>Collision/recovery/human-detection miss</x:v>
      </x:c>
      <x:c r="I10" s="54" t="str">
        <x:v>Survey and access</x:v>
      </x:c>
      <x:c r="J10" s="54" t="str">
        <x:v>Open</x:v>
      </x:c>
    </x:row>
    <x:row r="11">
      <x:c r="A11" s="54" t="str">
        <x:v>Optionally crewed earthworks</x:v>
      </x:c>
      <x:c r="B11" s="54" t="str">
        <x:v>Hazard-zone heavy production</x:v>
      </x:c>
      <x:c r="C11" s="54" t="str">
        <x:v>Remote kits</x:v>
      </x:c>
      <x:c r="D11" s="54" t="str">
        <x:v>Mud/current standard tasks</x:v>
      </x:c>
      <x:c r="E11" s="54" t="str">
        <x:v>First robotic battalion</x:v>
      </x:c>
      <x:c r="F11" s="54" t="str">
        <x:v>Common autonomous work family</x:v>
      </x:c>
      <x:c r="G11" s="55" t="n">
        <x:v>12</x:v>
      </x:c>
      <x:c r="H11" s="54" t="str">
        <x:v>Productivity or recovery miss</x:v>
      </x:c>
      <x:c r="I11" s="54" t="str">
        <x:v>Earthwork production</x:v>
      </x:c>
      <x:c r="J11" s="54" t="str">
        <x:v>Open</x:v>
      </x:c>
    </x:row>
    <x:row r="12">
      <x:c r="A12" s="54" t="str">
        <x:v>Purpose-built amphibious access</x:v>
      </x:c>
      <x:c r="B12" s="54" t="str">
        <x:v>Five environment-specific classes</x:v>
      </x:c>
      <x:c r="C12" s="54" t="str">
        <x:v>Mixed commercial/tactical craft</x:v>
      </x:c>
      <x:c r="D12" s="54" t="str">
        <x:v>Hydrodynamic and patient trials</x:v>
      </x:c>
      <x:c r="E12" s="54" t="str">
        <x:v>First access battalion</x:v>
      </x:c>
      <x:c r="F12" s="54" t="str">
        <x:v>Mature interoperable fleet</x:v>
      </x:c>
      <x:c r="G12" s="55" t="n">
        <x:v>12</x:v>
      </x:c>
      <x:c r="H12" s="54" t="str">
        <x:v>Stability/wake/access miss</x:v>
      </x:c>
      <x:c r="I12" s="54" t="str">
        <x:v>People and cargo cycles</x:v>
      </x:c>
      <x:c r="J12" s="54" t="str">
        <x:v>Open</x:v>
      </x:c>
    </x:row>
    <x:row r="13">
      <x:c r="A13" s="54" t="str">
        <x:v>Contamination-aware dewatering</x:v>
      </x:c>
      <x:c r="B13" s="54" t="str">
        <x:v>Measure, isolate and lawfully route</x:v>
      </x:c>
      <x:c r="C13" s="54" t="str">
        <x:v>Slow sampling</x:v>
      </x:c>
      <x:c r="D13" s="54" t="str">
        <x:v>Real-time field comparison</x:v>
      </x:c>
      <x:c r="E13" s="54" t="str">
        <x:v>HCG environmental battalion</x:v>
      </x:c>
      <x:c r="F13" s="54" t="str">
        <x:v>Closed-loop discharge assurance</x:v>
      </x:c>
      <x:c r="G13" s="55" t="n">
        <x:v>8</x:v>
      </x:c>
      <x:c r="H13" s="54" t="str">
        <x:v>False-negative or residual failure</x:v>
      </x:c>
      <x:c r="I13" s="54" t="str">
        <x:v>Treatment utilization</x:v>
      </x:c>
      <x:c r="J13" s="54" t="str">
        <x:v>Open</x:v>
      </x:c>
    </x:row>
    <x:row r="14">
      <x:c r="A14" s="54" t="str">
        <x:v>Hydraulic works carriers</x:v>
      </x:c>
      <x:c r="B14" s="54" t="str">
        <x:v>Riverine/coastal mobile work bases</x:v>
      </x:c>
      <x:c r="C14" s="54" t="str">
        <x:v>Ad hoc barges/ships</x:v>
      </x:c>
      <x:c r="D14" s="54" t="str">
        <x:v>Full mission prototype</x:v>
      </x:c>
      <x:c r="E14" s="54" t="str">
        <x:v>First operational carrier</x:v>
      </x:c>
      <x:c r="F14" s="54" t="str">
        <x:v>Mature modular fleet</x:v>
      </x:c>
      <x:c r="G14" s="55" t="n">
        <x:v>8</x:v>
      </x:c>
      <x:c r="H14" s="54" t="str">
        <x:v>Shore interface or cost failure</x:v>
      </x:c>
      <x:c r="I14" s="54" t="str">
        <x:v>Carrier support</x:v>
      </x:c>
      <x:c r="J14" s="54" t="str">
        <x:v>Open</x:v>
      </x:c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4" t="str">
        <x:v>Total</x:v>
      </x:c>
      <x:c r="B16" s="54"/>
      <x:c r="C16" s="54"/>
      <x:c r="D16" s="54"/>
      <x:c r="E16" s="54"/>
      <x:c r="F16" s="54"/>
      <x:c r="G16" s="63" t="n">
        <x:f>SUM(G5:G14)</x:f>
        <x:v>130</x:v>
      </x:c>
      <x:c r="H16" s="54"/>
      <x:c r="I16" s="54"/>
      <x:c r="J16" s="54" t="str">
        <x:v>RDT&amp;E subtotal</x:v>
      </x:c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35" hidden="0" customWidth="1"/>
    <x:col min="5" max="5" width="21" hidden="0" customWidth="1"/>
    <x:col min="6" max="6" width="39" hidden="0" customWidth="1"/>
    <x:col min="7" max="7" width="20" hidden="0" customWidth="1"/>
  </x:cols>
  <x:sheetData>
    <x:row r="1" ht="24" customHeight="1">
      <x:c r="A1" s="52" t="str">
        <x:v>Illustrative 25-year flood capital and RDT&amp;E portfolio</x:v>
      </x:c>
      <x:c r="B1" s="53"/>
      <x:c r="C1" s="53"/>
      <x:c r="D1" s="53"/>
      <x:c r="E1" s="53"/>
      <x:c r="F1" s="53"/>
      <x:c r="G1" s="53"/>
    </x:row>
    <x:row r="2" ht="28" customHeight="1">
      <x:c r="A2" s="38" t="str">
        <x:v>Real-2026-dollar thought experiment. Routine personnel and operations are excluded. Values are not a cost estimate or budget request.</x:v>
      </x:c>
      <x:c r="B2" s="38"/>
      <x:c r="C2" s="38"/>
      <x:c r="D2" s="38"/>
      <x:c r="E2" s="38"/>
      <x:c r="F2" s="38"/>
      <x:c r="G2" s="38"/>
    </x:row>
    <x:row r="3">
      <x:c r="A3" s="54"/>
      <x:c r="B3" s="54"/>
      <x:c r="C3" s="54"/>
      <x:c r="D3" s="54"/>
      <x:c r="E3" s="54"/>
      <x:c r="F3" s="54"/>
      <x:c r="G3" s="54"/>
    </x:row>
    <x:row r="4">
      <x:c r="A4" s="40" t="str">
        <x:v>Portfolio</x:v>
      </x:c>
      <x:c r="B4" s="41" t="str">
        <x:v>Amount ($B)</x:v>
      </x:c>
      <x:c r="C4" s="41" t="str">
        <x:v>Share</x:v>
      </x:c>
      <x:c r="D4" s="41" t="str">
        <x:v>Purpose</x:v>
      </x:c>
      <x:c r="E4" s="41" t="str">
        <x:v>Primary output</x:v>
      </x:c>
      <x:c r="F4" s="41" t="str">
        <x:v>Cost evidence</x:v>
      </x:c>
      <x:c r="G4" s="42" t="str">
        <x:v>State</x:v>
      </x:c>
    </x:row>
    <x:row r="5">
      <x:c r="A5" s="54" t="str">
        <x:v>Research, prototypes and independent test</x:v>
      </x:c>
      <x:c r="B5" s="55" t="n">
        <x:v>130</x:v>
      </x:c>
      <x:c r="C5" s="67" t="n">
        <x:f>B5/$B$16</x:f>
        <x:v>0.13</x:v>
      </x:c>
      <x:c r="D5" s="54" t="str">
        <x:v>Ten campaigns and destructive ranges</x:v>
      </x:c>
      <x:c r="E5" s="54" t="str">
        <x:v>Verified technology</x:v>
      </x:c>
      <x:c r="F5" s="54" t="str">
        <x:v>Design allocation</x:v>
      </x:c>
      <x:c r="G5" s="54" t="str">
        <x:v>Hypothesis</x:v>
      </x:c>
    </x:row>
    <x:row r="6">
      <x:c r="A6" s="54" t="str">
        <x:v>Pumps, power interfaces and drainage spines</x:v>
      </x:c>
      <x:c r="B6" s="55" t="n">
        <x:v>220</x:v>
      </x:c>
      <x:c r="C6" s="67" t="n">
        <x:f>B6/$B$16</x:f>
        <x:v>0.22</x:v>
      </x:c>
      <x:c r="D6" s="54" t="str">
        <x:v>HCG water-control battalions</x:v>
      </x:c>
      <x:c r="E6" s="54" t="str">
        <x:v>Net hydraulic capacity</x:v>
      </x:c>
      <x:c r="F6" s="54" t="str">
        <x:v>Design allocation</x:v>
      </x:c>
      <x:c r="G6" s="54" t="str">
        <x:v>Hypothesis</x:v>
      </x:c>
    </x:row>
    <x:row r="7">
      <x:c r="A7" s="54" t="str">
        <x:v>Amphibious rescue and logistics</x:v>
      </x:c>
      <x:c r="B7" s="55" t="n">
        <x:v>150</x:v>
      </x:c>
      <x:c r="C7" s="67" t="n">
        <x:f>B7/$B$16</x:f>
        <x:v>0.15</x:v>
      </x:c>
      <x:c r="D7" s="54" t="str">
        <x:v>Five environment-specific families</x:v>
      </x:c>
      <x:c r="E7" s="54" t="str">
        <x:v>People and cargo access</x:v>
      </x:c>
      <x:c r="F7" s="54" t="str">
        <x:v>Design allocation</x:v>
      </x:c>
      <x:c r="G7" s="54" t="str">
        <x:v>Hypothesis</x:v>
      </x:c>
    </x:row>
    <x:row r="8">
      <x:c r="A8" s="54" t="str">
        <x:v>Barriers, breach and autonomous earthworks</x:v>
      </x:c>
      <x:c r="B8" s="55" t="n">
        <x:v>160</x:v>
      </x:c>
      <x:c r="C8" s="67" t="n">
        <x:f>B8/$B$16</x:f>
        <x:v>0.16</x:v>
      </x:c>
      <x:c r="D8" s="54" t="str">
        <x:v>Exclusion, closure and heavy work</x:v>
      </x:c>
      <x:c r="E8" s="54" t="str">
        <x:v>Protected zones and flow arrest</x:v>
      </x:c>
      <x:c r="F8" s="54" t="str">
        <x:v>Design allocation</x:v>
      </x:c>
      <x:c r="G8" s="54" t="str">
        <x:v>Hypothesis</x:v>
      </x:c>
    </x:row>
    <x:row r="9">
      <x:c r="A9" s="54" t="str">
        <x:v>Hydraulic intelligence and communications</x:v>
      </x:c>
      <x:c r="B9" s="55" t="n">
        <x:v>80</x:v>
      </x:c>
      <x:c r="C9" s="67" t="n">
        <x:f>B9/$B$16</x:f>
        <x:v>0.08</x:v>
      </x:c>
      <x:c r="D9" s="54" t="str">
        <x:v>Sensors, models, edge compute and warning</x:v>
      </x:c>
      <x:c r="E9" s="54" t="str">
        <x:v>Decision time and uncertainty</x:v>
      </x:c>
      <x:c r="F9" s="54" t="str">
        <x:v>Design allocation</x:v>
      </x:c>
      <x:c r="G9" s="54" t="str">
        <x:v>Hypothesis</x:v>
      </x:c>
    </x:row>
    <x:row r="10">
      <x:c r="A10" s="54" t="str">
        <x:v>Riverine and coastal hydraulic works fleet</x:v>
      </x:c>
      <x:c r="B10" s="55" t="n">
        <x:v>90</x:v>
      </x:c>
      <x:c r="C10" s="67" t="n">
        <x:f>B10/$B$16</x:f>
        <x:v>0.09</x:v>
      </x:c>
      <x:c r="D10" s="54" t="str">
        <x:v>Barges, works ships, tow and dredge</x:v>
      </x:c>
      <x:c r="E10" s="54" t="str">
        <x:v>Waterborne work bases</x:v>
      </x:c>
      <x:c r="F10" s="54" t="str">
        <x:v>Design allocation</x:v>
      </x:c>
      <x:c r="G10" s="54" t="str">
        <x:v>Hypothesis</x:v>
      </x:c>
    </x:row>
    <x:row r="11">
      <x:c r="A11" s="54" t="str">
        <x:v>Regional bases, prepositioning and stocks</x:v>
      </x:c>
      <x:c r="B11" s="55" t="n">
        <x:v>70</x:v>
      </x:c>
      <x:c r="C11" s="67" t="n">
        <x:f>B11/$B$16</x:f>
        <x:v>0.07</x:v>
      </x:c>
      <x:c r="D11" s="54" t="str">
        <x:v>FIN sites and strategic material</x:v>
      </x:c>
      <x:c r="E11" s="54" t="str">
        <x:v>Readiness</x:v>
      </x:c>
      <x:c r="F11" s="54" t="str">
        <x:v>Design allocation</x:v>
      </x:c>
      <x:c r="G11" s="54" t="str">
        <x:v>Hypothesis</x:v>
      </x:c>
    </x:row>
    <x:row r="12">
      <x:c r="A12" s="54" t="str">
        <x:v>Industrial expansion and multi-source supply</x:v>
      </x:c>
      <x:c r="B12" s="55" t="n">
        <x:v>45</x:v>
      </x:c>
      <x:c r="C12" s="67" t="n">
        <x:f>B12/$B$16</x:f>
        <x:v>0.045</x:v>
      </x:c>
      <x:c r="D12" s="54" t="str">
        <x:v>Factories, tooling, test and repair</x:v>
      </x:c>
      <x:c r="E12" s="54" t="str">
        <x:v>Production capacity</x:v>
      </x:c>
      <x:c r="F12" s="54" t="str">
        <x:v>Design allocation</x:v>
      </x:c>
      <x:c r="G12" s="54" t="str">
        <x:v>Hypothesis</x:v>
      </x:c>
    </x:row>
    <x:row r="13">
      <x:c r="A13" s="54" t="str">
        <x:v>Workforce, academies and exercises</x:v>
      </x:c>
      <x:c r="B13" s="55" t="n">
        <x:v>30</x:v>
      </x:c>
      <x:c r="C13" s="67" t="n">
        <x:f>B13/$B$16</x:f>
        <x:v>0.03</x:v>
      </x:c>
      <x:c r="D13" s="54" t="str">
        <x:v>Schools, simulators and wet ranges</x:v>
      </x:c>
      <x:c r="E13" s="54" t="str">
        <x:v>Qualified force</x:v>
      </x:c>
      <x:c r="F13" s="54" t="str">
        <x:v>Design allocation</x:v>
      </x:c>
      <x:c r="G13" s="54" t="str">
        <x:v>Hypothesis</x:v>
      </x:c>
    </x:row>
    <x:row r="14">
      <x:c r="A14" s="54" t="str">
        <x:v>Program reserve and uncertainty</x:v>
      </x:c>
      <x:c r="B14" s="55" t="n">
        <x:v>25</x:v>
      </x:c>
      <x:c r="C14" s="67" t="n">
        <x:f>B14/$B$16</x:f>
        <x:v>0.025</x:v>
      </x:c>
      <x:c r="D14" s="54" t="str">
        <x:v>Technical, schedule and production risk</x:v>
      </x:c>
      <x:c r="E14" s="54" t="str">
        <x:v>Portfolio resilience</x:v>
      </x:c>
      <x:c r="F14" s="54" t="str">
        <x:v>Design allocation</x:v>
      </x:c>
      <x:c r="G14" s="54" t="str">
        <x:v>Hypothesis</x:v>
      </x:c>
    </x:row>
    <x:row r="15">
      <x:c r="A15" s="54"/>
      <x:c r="B15" s="54"/>
      <x:c r="C15" s="67"/>
      <x:c r="D15" s="54"/>
      <x:c r="E15" s="54"/>
      <x:c r="F15" s="54"/>
      <x:c r="G15" s="54"/>
    </x:row>
    <x:row r="16">
      <x:c r="A16" s="54" t="str">
        <x:v>Total</x:v>
      </x:c>
      <x:c r="B16" s="63" t="n">
        <x:f>SUM(B5:B14)</x:f>
        <x:v>1000</x:v>
      </x:c>
      <x:c r="C16" s="67" t="n">
        <x:f>SUM(C5:C14)</x:f>
        <x:v>1</x:v>
      </x:c>
      <x:c r="D16" s="54" t="str">
        <x:v>Capital and RDT&amp;E only</x:v>
      </x:c>
      <x:c r="E16" s="54" t="str"/>
      <x:c r="F16" s="54" t="str"/>
      <x:c r="G16" s="54" t="str">
        <x:v>Portfolio</x:v>
      </x:c>
    </x:row>
    <x:row r="17">
      <x:c r="A17" s="54"/>
      <x:c r="B17" s="54"/>
      <x:c r="C17" s="54"/>
      <x:c r="D17" s="54"/>
      <x:c r="E17" s="54"/>
      <x:c r="F17" s="54"/>
      <x:c r="G17" s="54"/>
    </x:row>
    <x:row r="18">
      <x:c r="A18" s="54"/>
      <x:c r="B18" s="54"/>
      <x:c r="C18" s="54"/>
      <x:c r="D18" s="54"/>
      <x:c r="E18" s="54"/>
      <x:c r="F18" s="54"/>
      <x:c r="G18" s="54"/>
    </x:row>
    <x:row r="19">
      <x:c r="A19" s="60" t="str">
        <x:v>Hardware screens</x:v>
      </x:c>
      <x:c r="B19" s="61"/>
      <x:c r="C19" s="61"/>
      <x:c r="D19" s="61"/>
      <x:c r="E19" s="61"/>
      <x:c r="F19" s="61"/>
      <x:c r="G19" s="62"/>
    </x:row>
    <x:row r="20">
      <x:c r="A20" s="40" t="str">
        <x:v>Screen</x:v>
      </x:c>
      <x:c r="B20" s="41" t="str">
        <x:v>Value</x:v>
      </x:c>
      <x:c r="C20" s="41" t="str">
        <x:v>Unit</x:v>
      </x:c>
      <x:c r="D20" s="41" t="str">
        <x:v>Portfolio comparator</x:v>
      </x:c>
      <x:c r="E20" s="41" t="str">
        <x:v>Remainder</x:v>
      </x:c>
      <x:c r="F20" s="41" t="str">
        <x:v>Meaning</x:v>
      </x:c>
      <x:c r="G20" s="42" t="str">
        <x:v>Limit</x:v>
      </x:c>
    </x:row>
    <x:row r="21">
      <x:c r="A21" s="54" t="str">
        <x:v>National pump hardware</x:v>
      </x:c>
      <x:c r="B21" s="63" t="n">
        <x:f>'Readiness Concurrency'!$I$17</x:f>
        <x:v>35.375</x:v>
      </x:c>
      <x:c r="C21" s="54" t="str">
        <x:v>$B</x:v>
      </x:c>
      <x:c r="D21" s="54" t="str">
        <x:v>Pumps/power/spine portfolio</x:v>
      </x:c>
      <x:c r="E21" s="63" t="n">
        <x:f>B6-B21</x:f>
        <x:v>184.625</x:v>
      </x:c>
      <x:c r="F21" s="54" t="str">
        <x:v>Remainder funds development, routes, power, spares, bases and support</x:v>
      </x:c>
      <x:c r="G21" s="54" t="str">
        <x:v>Not savings</x:v>
      </x:c>
    </x:row>
    <x:row r="22">
      <x:c r="A22" s="54" t="str">
        <x:v>Selected formation carrier</x:v>
      </x:c>
      <x:c r="B22" s="63" t="n">
        <x:f>'Works Carriers'!$B$15</x:f>
        <x:v>1.2</x:v>
      </x:c>
      <x:c r="C22" s="54" t="str">
        <x:v>$B</x:v>
      </x:c>
      <x:c r="D22" s="54" t="str">
        <x:v>Works fleet portfolio</x:v>
      </x:c>
      <x:c r="E22" s="63" t="n">
        <x:f>B10-B22</x:f>
        <x:v>88.8</x:v>
      </x:c>
      <x:c r="F22" s="54" t="str">
        <x:v>Remainder funds program, support, spares, ports and depots</x:v>
      </x:c>
      <x:c r="G22" s="54" t="str">
        <x:v>Not savings</x:v>
      </x:c>
    </x:row>
    <x:row r="23">
      <x:c r="A23" s="54" t="str">
        <x:v>Combined hardware</x:v>
      </x:c>
      <x:c r="B23" s="63" t="n">
        <x:f>SUM(B21:B22)</x:f>
        <x:v>36.575</x:v>
      </x:c>
      <x:c r="C23" s="54" t="str">
        <x:v>$B</x:v>
      </x:c>
      <x:c r="D23" s="54" t="str">
        <x:v>Two allocations</x:v>
      </x:c>
      <x:c r="E23" s="63" t="n">
        <x:f>B6+B10-B23</x:f>
        <x:v>273.425</x:v>
      </x:c>
      <x:c r="F23" s="54" t="str">
        <x:v>Partial hardware screen only</x:v>
      </x:c>
      <x:c r="G23" s="54" t="str">
        <x:v>No affordability claim</x:v>
      </x:c>
    </x:row>
    <x:row r="24">
      <x:c r="A24" s="54"/>
      <x:c r="B24" s="54"/>
      <x:c r="C24" s="54"/>
      <x:c r="D24" s="54"/>
      <x:c r="E24" s="54"/>
      <x:c r="F24" s="54"/>
      <x:c r="G24" s="54"/>
    </x:row>
    <x:row r="25">
      <x:c r="A25" s="54"/>
      <x:c r="B25" s="54"/>
      <x:c r="C25" s="54"/>
      <x:c r="D25" s="54"/>
      <x:c r="E25" s="54"/>
      <x:c r="F25" s="54"/>
      <x:c r="G25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3" hidden="0" customWidth="1"/>
    <x:col min="3" max="3" width="29" hidden="0" customWidth="1"/>
    <x:col min="4" max="4" width="28" hidden="0" customWidth="1"/>
    <x:col min="5" max="5" width="31" hidden="0" customWidth="1"/>
    <x:col min="6" max="6" width="27" hidden="0" customWidth="1"/>
    <x:col min="7" max="7" width="23" hidden="0" customWidth="1"/>
    <x:col min="8" max="8" width="16" hidden="0" customWidth="1"/>
  </x:cols>
  <x:sheetData>
    <x:row r="1" ht="24" customHeight="1">
      <x:c r="A1" s="52" t="str">
        <x:v>Configuration failure modes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38" t="str">
        <x:v>Each case identifies a hidden assumption, observable indicator, response and model location.</x:v>
      </x:c>
      <x:c r="B2" s="38"/>
      <x:c r="C2" s="38"/>
      <x:c r="D2" s="38"/>
      <x:c r="E2" s="38"/>
      <x:c r="F2" s="38"/>
      <x:c r="G2" s="38"/>
      <x:c r="H2" s="38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40" t="str">
        <x:v>Failure</x:v>
      </x:c>
      <x:c r="B4" s="41" t="str">
        <x:v>Hidden assumption</x:v>
      </x:c>
      <x:c r="C4" s="41" t="str">
        <x:v>Leading indicator</x:v>
      </x:c>
      <x:c r="D4" s="41" t="str">
        <x:v>Operational consequence</x:v>
      </x:c>
      <x:c r="E4" s="41" t="str">
        <x:v>Design response</x:v>
      </x:c>
      <x:c r="F4" s="41" t="str">
        <x:v>Model location</x:v>
      </x:c>
      <x:c r="G4" s="41" t="str">
        <x:v>Owner</x:v>
      </x:c>
      <x:c r="H4" s="42" t="str">
        <x:v>Evidence state</x:v>
      </x:c>
    </x:row>
    <x:row r="5">
      <x:c r="A5" s="54" t="str">
        <x:v>Forecast error</x:v>
      </x:c>
      <x:c r="B5" s="54" t="str">
        <x:v>Model equals incident truth</x:v>
      </x:c>
      <x:c r="C5" s="54" t="str">
        <x:v>Residuals and sensor conflict</x:v>
      </x:c>
      <x:c r="D5" s="54" t="str">
        <x:v>Mispositioned force</x:v>
      </x:c>
      <x:c r="E5" s="54" t="str">
        <x:v>Ensembles, local sensing, reserve</x:v>
      </x:c>
      <x:c r="F5" s="54" t="str">
        <x:v>Forecast Action Clock</x:v>
      </x:c>
      <x:c r="G5" s="54" t="str">
        <x:v>Intelligence</x:v>
      </x:c>
      <x:c r="H5" s="54" t="str">
        <x:v>Open</x:v>
      </x:c>
    </x:row>
    <x:row r="6">
      <x:c r="A6" s="54" t="str">
        <x:v>Barrier traps interior water</x:v>
      </x:c>
      <x:c r="B6" s="54" t="str">
        <x:v>Exclusion equals safety</x:v>
      </x:c>
      <x:c r="C6" s="54" t="str">
        <x:v>Interior margin negative</x:v>
      </x:c>
      <x:c r="D6" s="54" t="str">
        <x:v>Protected-side flooding</x:v>
      </x:c>
      <x:c r="E6" s="54" t="str">
        <x:v>Dedicated drainage</x:v>
      </x:c>
      <x:c r="F6" s="54" t="str">
        <x:v>Interior Drainage</x:v>
      </x:c>
      <x:c r="G6" s="54" t="str">
        <x:v>Barrier battalion</x:v>
      </x:c>
      <x:c r="H6" s="54" t="str">
        <x:v>Open</x:v>
      </x:c>
    </x:row>
    <x:row r="7">
      <x:c r="A7" s="54" t="str">
        <x:v>Pump underperformance</x:v>
      </x:c>
      <x:c r="B7" s="54" t="str">
        <x:v>Nameplate equals discharge</x:v>
      </x:c>
      <x:c r="C7" s="54" t="str">
        <x:v>Flow/head shortfall</x:v>
      </x:c>
      <x:c r="D7" s="54" t="str">
        <x:v>Longer drawdown</x:v>
      </x:c>
      <x:c r="E7" s="54" t="str">
        <x:v>Instrumented full curve and reserve</x:v>
      </x:c>
      <x:c r="F7" s="54" t="str">
        <x:v>Pump Curves Availability</x:v>
      </x:c>
      <x:c r="G7" s="54" t="str">
        <x:v>Pump battalion</x:v>
      </x:c>
      <x:c r="H7" s="54" t="str">
        <x:v>Open</x:v>
      </x:c>
    </x:row>
    <x:row r="8">
      <x:c r="A8" s="54" t="str">
        <x:v>Receiving stage too high</x:v>
      </x:c>
      <x:c r="B8" s="54" t="str">
        <x:v>Discharge always available</x:v>
      </x:c>
      <x:c r="C8" s="54" t="str">
        <x:v>Stage window closes</x:v>
      </x:c>
      <x:c r="D8" s="54" t="str">
        <x:v>Pump curtailment</x:v>
      </x:c>
      <x:c r="E8" s="54" t="str">
        <x:v>Storage and alternate route</x:v>
      </x:c>
      <x:c r="F8" s="54" t="str">
        <x:v>Receiving Discharge</x:v>
      </x:c>
      <x:c r="G8" s="54" t="str">
        <x:v>Hydraulic command</x:v>
      </x:c>
      <x:c r="H8" s="54" t="str">
        <x:v>Open</x:v>
      </x:c>
    </x:row>
    <x:row r="9">
      <x:c r="A9" s="54" t="str">
        <x:v>Intake clog/cavitation</x:v>
      </x:c>
      <x:c r="B9" s="54" t="str">
        <x:v>Open water guarantees supply</x:v>
      </x:c>
      <x:c r="C9" s="54" t="str">
        <x:v>Vibration/head loss</x:v>
      </x:c>
      <x:c r="D9" s="54" t="str">
        <x:v>Pump damage</x:v>
      </x:c>
      <x:c r="E9" s="54" t="str">
        <x:v>Redundant bays and trash handling</x:v>
      </x:c>
      <x:c r="F9" s="54" t="str">
        <x:v>Intake Debris</x:v>
      </x:c>
      <x:c r="G9" s="54" t="str">
        <x:v>Pump battalion</x:v>
      </x:c>
      <x:c r="H9" s="54" t="str">
        <x:v>Open</x:v>
      </x:c>
    </x:row>
    <x:row r="10">
      <x:c r="A10" s="54" t="str">
        <x:v>Breach exceeds pump</x:v>
      </x:c>
      <x:c r="B10" s="54" t="str">
        <x:v>Pumping is first action</x:v>
      </x:c>
      <x:c r="C10" s="54" t="str">
        <x:v>Flow ratio above one</x:v>
      </x:c>
      <x:c r="D10" s="54" t="str">
        <x:v>Storage grows</x:v>
      </x:c>
      <x:c r="E10" s="54" t="str">
        <x:v>Arrest and closure before drawdown</x:v>
      </x:c>
      <x:c r="F10" s="54" t="str">
        <x:v>Breach Growth Arrest</x:v>
      </x:c>
      <x:c r="G10" s="54" t="str">
        <x:v>Breach battalion</x:v>
      </x:c>
      <x:c r="H10" s="54" t="str">
        <x:v>Open</x:v>
      </x:c>
    </x:row>
    <x:row r="11">
      <x:c r="A11" s="54" t="str">
        <x:v>Craft mismatch</x:v>
      </x:c>
      <x:c r="B11" s="54" t="str">
        <x:v>Amphibious covers all water</x:v>
      </x:c>
      <x:c r="C11" s="54" t="str">
        <x:v>Low suitability/capsize cues</x:v>
      </x:c>
      <x:c r="D11" s="54" t="str">
        <x:v>Rescue failure</x:v>
      </x:c>
      <x:c r="E11" s="54" t="str">
        <x:v>Distinct classes and abort envelopes</x:v>
      </x:c>
      <x:c r="F11" s="54" t="str">
        <x:v>Amphibious Cycles</x:v>
      </x:c>
      <x:c r="G11" s="54" t="str">
        <x:v>Access battalion</x:v>
      </x:c>
      <x:c r="H11" s="54" t="str">
        <x:v>Open</x:v>
      </x:c>
    </x:row>
    <x:row r="12">
      <x:c r="A12" s="54" t="str">
        <x:v>Autonomy loses perception/link</x:v>
      </x:c>
      <x:c r="B12" s="54" t="str">
        <x:v>Remote means autonomous</x:v>
      </x:c>
      <x:c r="C12" s="54" t="str">
        <x:v>Localization or link loss</x:v>
      </x:c>
      <x:c r="D12" s="54" t="str">
        <x:v>Collision/work halt</x:v>
      </x:c>
      <x:c r="E12" s="54" t="str">
        <x:v>Local stop, optional crew, recovery</x:v>
      </x:c>
      <x:c r="F12" s="54" t="str">
        <x:v>Earthworks Material</x:v>
      </x:c>
      <x:c r="G12" s="54" t="str">
        <x:v>Autonomy authority</x:v>
      </x:c>
      <x:c r="H12" s="54" t="str">
        <x:v>Open</x:v>
      </x:c>
    </x:row>
    <x:row r="13">
      <x:c r="A13" s="54" t="str">
        <x:v>Contamination exported</x:v>
      </x:c>
      <x:c r="B13" s="54" t="str">
        <x:v>Moved water equals benefit</x:v>
      </x:c>
      <x:c r="C13" s="54" t="str">
        <x:v>High-hazard shortfall</x:v>
      </x:c>
      <x:c r="D13" s="54" t="str">
        <x:v>Downstream harm</x:v>
      </x:c>
      <x:c r="E13" s="54" t="str">
        <x:v>Sample, isolate, treat, monitor</x:v>
      </x:c>
      <x:c r="F13" s="54" t="str">
        <x:v>Contamination Treatment</x:v>
      </x:c>
      <x:c r="G13" s="54" t="str">
        <x:v>Environmental battalion</x:v>
      </x:c>
      <x:c r="H13" s="54" t="str">
        <x:v>Open</x:v>
      </x:c>
    </x:row>
    <x:row r="14">
      <x:c r="A14" s="54" t="str">
        <x:v>Heavy route fails</x:v>
      </x:c>
      <x:c r="B14" s="54" t="str">
        <x:v>Mapped route carries load</x:v>
      </x:c>
      <x:c r="C14" s="54" t="str">
        <x:v>Bearing/bridge restriction</x:v>
      </x:c>
      <x:c r="D14" s="54" t="str">
        <x:v>Deployment delay</x:v>
      </x:c>
      <x:c r="E14" s="54" t="str">
        <x:v>Survey and multimodal movement</x:v>
      </x:c>
      <x:c r="F14" s="54" t="str">
        <x:v>Deployment Manifest</x:v>
      </x:c>
      <x:c r="G14" s="54" t="str">
        <x:v>Theater opening</x:v>
      </x:c>
      <x:c r="H14" s="54" t="str">
        <x:v>Open</x:v>
      </x:c>
    </x:row>
    <x:row r="15">
      <x:c r="A15" s="54" t="str">
        <x:v>Crew exhaustion</x:v>
      </x:c>
      <x:c r="B15" s="54" t="str">
        <x:v>Machine availability equals force</x:v>
      </x:c>
      <x:c r="C15" s="54" t="str">
        <x:v>Relief and exposure deficit</x:v>
      </x:c>
      <x:c r="D15" s="54" t="str">
        <x:v>Capacity collapse</x:v>
      </x:c>
      <x:c r="E15" s="54" t="str">
        <x:v>Rotation and protected rest</x:v>
      </x:c>
      <x:c r="F15" s="54" t="str">
        <x:v>Workforce Rotation</x:v>
      </x:c>
      <x:c r="G15" s="54" t="str">
        <x:v>Personnel</x:v>
      </x:c>
      <x:c r="H15" s="54" t="str">
        <x:v>Open</x:v>
      </x:c>
    </x:row>
    <x:row r="16">
      <x:c r="A16" s="54" t="str">
        <x:v>Temporary works persist</x:v>
      </x:c>
      <x:c r="B16" s="54" t="str">
        <x:v>Emergency equals durable</x:v>
      </x:c>
      <x:c r="C16" s="54" t="str">
        <x:v>Inspection defects</x:v>
      </x:c>
      <x:c r="D16" s="54" t="str">
        <x:v>Delayed failure</x:v>
      </x:c>
      <x:c r="E16" s="54" t="str">
        <x:v>Transfer/removal standard</x:v>
      </x:c>
      <x:c r="F16" s="54" t="str">
        <x:v>Barrier Geometry Loads</x:v>
      </x:c>
      <x:c r="G16" s="54" t="str">
        <x:v>Technical authority</x:v>
      </x:c>
      <x:c r="H16" s="54" t="str">
        <x:v>Open</x:v>
      </x:c>
    </x:row>
    <x:row r="17">
      <x:c r="A17" s="54" t="str">
        <x:v>Second event arrives</x:v>
      </x:c>
      <x:c r="B17" s="54" t="str">
        <x:v>First event may consume all</x:v>
      </x:c>
      <x:c r="C17" s="54" t="str">
        <x:v>Residual ready near zero</x:v>
      </x:c>
      <x:c r="D17" s="54" t="str">
        <x:v>National shortfall</x:v>
      </x:c>
      <x:c r="E17" s="54" t="str">
        <x:v>Concurrency and reconstitution</x:v>
      </x:c>
      <x:c r="F17" s="54" t="str">
        <x:v>Readiness Concurrency</x:v>
      </x:c>
      <x:c r="G17" s="54" t="str">
        <x:v>National command</x:v>
      </x:c>
      <x:c r="H17" s="54" t="str">
        <x:v>Open</x:v>
      </x:c>
    </x:row>
    <x:row r="18">
      <x:c r="A18" s="54" t="str">
        <x:v>Power source fails</x:v>
      </x:c>
      <x:c r="B18" s="54" t="str">
        <x:v>Electric bus guarantees energy</x:v>
      </x:c>
      <x:c r="C18" s="54" t="str">
        <x:v>MW margin negative</x:v>
      </x:c>
      <x:c r="D18" s="54" t="str">
        <x:v>Pumps stop</x:v>
      </x:c>
      <x:c r="E18" s="54" t="str">
        <x:v>PRG/grid diversity and black start</x:v>
      </x:c>
      <x:c r="F18" s="54" t="str">
        <x:v>Power Fuel</x:v>
      </x:c>
      <x:c r="G18" s="54" t="str">
        <x:v>Infrastructure service</x:v>
      </x:c>
      <x:c r="H18" s="54" t="str">
        <x:v>Open</x:v>
      </x:c>
    </x:row>
    <x:row r="19">
      <x:c r="A19" s="54" t="str">
        <x:v>Drainage joint/anchor fails</x:v>
      </x:c>
      <x:c r="B19" s="54" t="str">
        <x:v>Pipe capacity equals delivered flow</x:v>
      </x:c>
      <x:c r="C19" s="54" t="str">
        <x:v>Pressure/leak anomaly</x:v>
      </x:c>
      <x:c r="D19" s="54" t="str">
        <x:v>Route loss</x:v>
      </x:c>
      <x:c r="E19" s="54" t="str">
        <x:v>Isolation, repair, alternate path</x:v>
      </x:c>
      <x:c r="F19" s="54" t="str">
        <x:v>Drainage Spine</x:v>
      </x:c>
      <x:c r="G19" s="54" t="str">
        <x:v>Pump battalion</x:v>
      </x:c>
      <x:c r="H19" s="54" t="str">
        <x:v>Open</x:v>
      </x:c>
    </x:row>
    <x:row r="20">
      <x:c r="A20" s="54"/>
      <x:c r="B20" s="54"/>
      <x:c r="C20" s="54"/>
      <x:c r="D20" s="54"/>
      <x:c r="E20" s="54"/>
      <x:c r="F20" s="54"/>
      <x:c r="G20" s="54"/>
      <x:c r="H20" s="54"/>
    </x:row>
    <x:row r="21">
      <x:c r="A21" s="54"/>
      <x:c r="B21" s="54"/>
      <x:c r="C21" s="54"/>
      <x:c r="D21" s="54"/>
      <x:c r="E21" s="54"/>
      <x:c r="F21" s="54"/>
      <x:c r="G21" s="54"/>
      <x:c r="H21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9" hidden="0" customWidth="1"/>
    <x:col min="3" max="3" width="14" hidden="0" customWidth="1"/>
    <x:col min="4" max="4" width="25" hidden="0" customWidth="1"/>
    <x:col min="5" max="5" width="18" hidden="0" customWidth="1"/>
    <x:col min="6" max="6" width="34" hidden="0" customWidth="1"/>
    <x:col min="7" max="7" width="27" hidden="0" customWidth="1"/>
  </x:cols>
  <x:sheetData>
    <x:row r="1" ht="24" customHeight="1">
      <x:c r="A1" s="52" t="str">
        <x:v>R3 evidence gate</x:v>
      </x:c>
      <x:c r="B1" s="53"/>
      <x:c r="C1" s="53"/>
      <x:c r="D1" s="53"/>
      <x:c r="E1" s="53"/>
      <x:c r="F1" s="53"/>
      <x:c r="G1" s="53"/>
    </x:row>
    <x:row r="2" ht="28" customHeight="1">
      <x:c r="A2" s="38" t="str">
        <x:v>Every gate remains open. Workbook coherence advances integrated formations to R2+ only; it does not establish physics closure or authorize rendering.</x:v>
      </x:c>
      <x:c r="B2" s="38"/>
      <x:c r="C2" s="38"/>
      <x:c r="D2" s="38"/>
      <x:c r="E2" s="38"/>
      <x:c r="F2" s="38"/>
      <x:c r="G2" s="38"/>
    </x:row>
    <x:row r="3">
      <x:c r="A3" s="54"/>
      <x:c r="B3" s="54"/>
      <x:c r="C3" s="54"/>
      <x:c r="D3" s="54"/>
      <x:c r="E3" s="54"/>
      <x:c r="F3" s="54"/>
      <x:c r="G3" s="54"/>
    </x:row>
    <x:row r="4">
      <x:c r="A4" s="40" t="str">
        <x:v>Gate</x:v>
      </x:c>
      <x:c r="B4" s="41" t="str">
        <x:v>Evidence required</x:v>
      </x:c>
      <x:c r="C4" s="41" t="str">
        <x:v>Status</x:v>
      </x:c>
      <x:c r="D4" s="41" t="str">
        <x:v>Owner</x:v>
      </x:c>
      <x:c r="E4" s="41" t="str">
        <x:v>Decision if open</x:v>
      </x:c>
      <x:c r="F4" s="41" t="str">
        <x:v>Minimum proof</x:v>
      </x:c>
      <x:c r="G4" s="42" t="str">
        <x:v>Rendering implication</x:v>
      </x:c>
    </x:row>
    <x:row r="5">
      <x:c r="A5" s="54" t="str">
        <x:v>Representative cases</x:v>
      </x:c>
      <x:c r="B5" s="54" t="str">
        <x:v>Inland, urban, coastal, breach and contamination cases with uncertainty</x:v>
      </x:c>
      <x:c r="C5" s="55" t="str">
        <x:v>Open</x:v>
      </x:c>
      <x:c r="D5" s="54" t="str">
        <x:v>Science authority</x:v>
      </x:c>
      <x:c r="E5" s="54" t="str">
        <x:v>No R3 credit</x:v>
      </x:c>
      <x:c r="F5" s="54" t="str">
        <x:v>Representative configuration evidence</x:v>
      </x:c>
      <x:c r="G5" s="54" t="str">
        <x:v>Rendering prohibited</x:v>
      </x:c>
    </x:row>
    <x:row r="6">
      <x:c r="A6" s="54" t="str">
        <x:v>Action distributions</x:v>
      </x:c>
      <x:c r="B6" s="54" t="str">
        <x:v>Forecast/detection-to-effective-action distributions</x:v>
      </x:c>
      <x:c r="C6" s="55" t="str">
        <x:v>Open</x:v>
      </x:c>
      <x:c r="D6" s="54" t="str">
        <x:v>Science authority</x:v>
      </x:c>
      <x:c r="E6" s="54" t="str">
        <x:v>No R3 credit</x:v>
      </x:c>
      <x:c r="F6" s="54" t="str">
        <x:v>Representative configuration evidence</x:v>
      </x:c>
      <x:c r="G6" s="54" t="str">
        <x:v>Rendering prohibited</x:v>
      </x:c>
    </x:row>
    <x:row r="7">
      <x:c r="A7" s="54" t="str">
        <x:v>Basin model</x:v>
      </x:c>
      <x:c r="B7" s="54" t="str">
        <x:v>Time-indexed zonal storage and receiving water</x:v>
      </x:c>
      <x:c r="C7" s="55" t="str">
        <x:v>Open</x:v>
      </x:c>
      <x:c r="D7" s="54" t="str">
        <x:v>Science authority</x:v>
      </x:c>
      <x:c r="E7" s="54" t="str">
        <x:v>No R3 credit</x:v>
      </x:c>
      <x:c r="F7" s="54" t="str">
        <x:v>Representative configuration evidence</x:v>
      </x:c>
      <x:c r="G7" s="54" t="str">
        <x:v>Rendering prohibited</x:v>
      </x:c>
    </x:row>
    <x:row r="8">
      <x:c r="A8" s="54" t="str">
        <x:v>Pump curves</x:v>
      </x:c>
      <x:c r="B8" s="54" t="str">
        <x:v>Head, solids, submergence, wear and efficiency</x:v>
      </x:c>
      <x:c r="C8" s="55" t="str">
        <x:v>Open</x:v>
      </x:c>
      <x:c r="D8" s="54" t="str">
        <x:v>Technical authority</x:v>
      </x:c>
      <x:c r="E8" s="54" t="str">
        <x:v>No R3 credit</x:v>
      </x:c>
      <x:c r="F8" s="54" t="str">
        <x:v>Representative configuration evidence</x:v>
      </x:c>
      <x:c r="G8" s="54" t="str">
        <x:v>Rendering prohibited</x:v>
      </x:c>
    </x:row>
    <x:row r="9">
      <x:c r="A9" s="54" t="str">
        <x:v>Intake/debris</x:v>
      </x:c>
      <x:c r="B9" s="54" t="str">
        <x:v>Trash, sediment, cavitation and maintenance</x:v>
      </x:c>
      <x:c r="C9" s="55" t="str">
        <x:v>Open</x:v>
      </x:c>
      <x:c r="D9" s="54" t="str">
        <x:v>Technical authority</x:v>
      </x:c>
      <x:c r="E9" s="54" t="str">
        <x:v>No R3 credit</x:v>
      </x:c>
      <x:c r="F9" s="54" t="str">
        <x:v>Representative configuration evidence</x:v>
      </x:c>
      <x:c r="G9" s="54" t="str">
        <x:v>Rendering prohibited</x:v>
      </x:c>
    </x:row>
    <x:row r="10">
      <x:c r="A10" s="54" t="str">
        <x:v>Power system</x:v>
      </x:c>
      <x:c r="B10" s="54" t="str">
        <x:v>Sources, fuel, controls, protection and black start</x:v>
      </x:c>
      <x:c r="C10" s="55" t="str">
        <x:v>Open</x:v>
      </x:c>
      <x:c r="D10" s="54" t="str">
        <x:v>Technical authority</x:v>
      </x:c>
      <x:c r="E10" s="54" t="str">
        <x:v>No R3 credit</x:v>
      </x:c>
      <x:c r="F10" s="54" t="str">
        <x:v>Representative configuration evidence</x:v>
      </x:c>
      <x:c r="G10" s="54" t="str">
        <x:v>Rendering prohibited</x:v>
      </x:c>
    </x:row>
    <x:row r="11">
      <x:c r="A11" s="54" t="str">
        <x:v>Drainage Spine</x:v>
      </x:c>
      <x:c r="B11" s="54" t="str">
        <x:v>Hydraulics, transients, joints, anchors and crossings</x:v>
      </x:c>
      <x:c r="C11" s="55" t="str">
        <x:v>Open</x:v>
      </x:c>
      <x:c r="D11" s="54" t="str">
        <x:v>Technical authority</x:v>
      </x:c>
      <x:c r="E11" s="54" t="str">
        <x:v>No R3 credit</x:v>
      </x:c>
      <x:c r="F11" s="54" t="str">
        <x:v>Representative configuration evidence</x:v>
      </x:c>
      <x:c r="G11" s="54" t="str">
        <x:v>Rendering prohibited</x:v>
      </x:c>
    </x:row>
    <x:row r="12">
      <x:c r="A12" s="54" t="str">
        <x:v>Barriers</x:v>
      </x:c>
      <x:c r="B12" s="54" t="str">
        <x:v>Loads, foundation, seepage, overtopping, terminations and interior drainage</x:v>
      </x:c>
      <x:c r="C12" s="55" t="str">
        <x:v>Open</x:v>
      </x:c>
      <x:c r="D12" s="54" t="str">
        <x:v>Technical authority</x:v>
      </x:c>
      <x:c r="E12" s="54" t="str">
        <x:v>No R3 credit</x:v>
      </x:c>
      <x:c r="F12" s="54" t="str">
        <x:v>Representative configuration evidence</x:v>
      </x:c>
      <x:c r="G12" s="54" t="str">
        <x:v>Rendering prohibited</x:v>
      </x:c>
    </x:row>
    <x:row r="13">
      <x:c r="A13" s="54" t="str">
        <x:v>Breach arrest</x:v>
      </x:c>
      <x:c r="B13" s="54" t="str">
        <x:v>Growth, flow reduction, filters and durable closure</x:v>
      </x:c>
      <x:c r="C13" s="55" t="str">
        <x:v>Open</x:v>
      </x:c>
      <x:c r="D13" s="54" t="str">
        <x:v>Technical authority</x:v>
      </x:c>
      <x:c r="E13" s="54" t="str">
        <x:v>No R3 credit</x:v>
      </x:c>
      <x:c r="F13" s="54" t="str">
        <x:v>Representative configuration evidence</x:v>
      </x:c>
      <x:c r="G13" s="54" t="str">
        <x:v>Rendering prohibited</x:v>
      </x:c>
    </x:row>
    <x:row r="14">
      <x:c r="A14" s="54" t="str">
        <x:v>Amphibious performance</x:v>
      </x:c>
      <x:c r="B14" s="54" t="str">
        <x:v>Stability, maneuver, obstacles, wake, patient and decon</x:v>
      </x:c>
      <x:c r="C14" s="55" t="str">
        <x:v>Open</x:v>
      </x:c>
      <x:c r="D14" s="54" t="str">
        <x:v>Technical authority</x:v>
      </x:c>
      <x:c r="E14" s="54" t="str">
        <x:v>No R3 credit</x:v>
      </x:c>
      <x:c r="F14" s="54" t="str">
        <x:v>Representative configuration evidence</x:v>
      </x:c>
      <x:c r="G14" s="54" t="str">
        <x:v>Rendering prohibited</x:v>
      </x:c>
    </x:row>
    <x:row r="15">
      <x:c r="A15" s="54" t="str">
        <x:v>Flood autonomy</x:v>
      </x:c>
      <x:c r="B15" s="54" t="str">
        <x:v>Navigation, lost link, collision and recovery</x:v>
      </x:c>
      <x:c r="C15" s="55" t="str">
        <x:v>Open</x:v>
      </x:c>
      <x:c r="D15" s="54" t="str">
        <x:v>Technical authority</x:v>
      </x:c>
      <x:c r="E15" s="54" t="str">
        <x:v>No R3 credit</x:v>
      </x:c>
      <x:c r="F15" s="54" t="str">
        <x:v>Representative configuration evidence</x:v>
      </x:c>
      <x:c r="G15" s="54" t="str">
        <x:v>Rendering prohibited</x:v>
      </x:c>
    </x:row>
    <x:row r="16">
      <x:c r="A16" s="54" t="str">
        <x:v>Earthworks</x:v>
      </x:c>
      <x:c r="B16" s="54" t="str">
        <x:v>Productivity, safety and repair in mud/water/contamination</x:v>
      </x:c>
      <x:c r="C16" s="55" t="str">
        <x:v>Open</x:v>
      </x:c>
      <x:c r="D16" s="54" t="str">
        <x:v>Technical authority</x:v>
      </x:c>
      <x:c r="E16" s="54" t="str">
        <x:v>No R3 credit</x:v>
      </x:c>
      <x:c r="F16" s="54" t="str">
        <x:v>Representative configuration evidence</x:v>
      </x:c>
      <x:c r="G16" s="54" t="str">
        <x:v>Rendering prohibited</x:v>
      </x:c>
    </x:row>
    <x:row r="17">
      <x:c r="A17" s="54" t="str">
        <x:v>Environmental process</x:v>
      </x:c>
      <x:c r="B17" s="54" t="str">
        <x:v>Sampling, treatment, discharge and residuals</x:v>
      </x:c>
      <x:c r="C17" s="55" t="str">
        <x:v>Open</x:v>
      </x:c>
      <x:c r="D17" s="54" t="str">
        <x:v>Technical authority</x:v>
      </x:c>
      <x:c r="E17" s="54" t="str">
        <x:v>No R3 credit</x:v>
      </x:c>
      <x:c r="F17" s="54" t="str">
        <x:v>Representative configuration evidence</x:v>
      </x:c>
      <x:c r="G17" s="54" t="str">
        <x:v>Rendering prohibited</x:v>
      </x:c>
    </x:row>
    <x:row r="18">
      <x:c r="A18" s="54" t="str">
        <x:v>Infrastructure protection</x:v>
      </x:c>
      <x:c r="B18" s="54" t="str">
        <x:v>Site interfaces and restart</x:v>
      </x:c>
      <x:c r="C18" s="55" t="str">
        <x:v>Open</x:v>
      </x:c>
      <x:c r="D18" s="54" t="str">
        <x:v>Technical authority</x:v>
      </x:c>
      <x:c r="E18" s="54" t="str">
        <x:v>No R3 credit</x:v>
      </x:c>
      <x:c r="F18" s="54" t="str">
        <x:v>Representative configuration evidence</x:v>
      </x:c>
      <x:c r="G18" s="54" t="str">
        <x:v>Rendering prohibited</x:v>
      </x:c>
    </x:row>
    <x:row r="19">
      <x:c r="A19" s="54" t="str">
        <x:v>Deployment manifest</x:v>
      </x:c>
      <x:c r="B19" s="54" t="str">
        <x:v>Itemized dry and recurring movement</x:v>
      </x:c>
      <x:c r="C19" s="55" t="str">
        <x:v>Open</x:v>
      </x:c>
      <x:c r="D19" s="54" t="str">
        <x:v>Service acquisition</x:v>
      </x:c>
      <x:c r="E19" s="54" t="str">
        <x:v>No R3 credit</x:v>
      </x:c>
      <x:c r="F19" s="54" t="str">
        <x:v>Representative configuration evidence</x:v>
      </x:c>
      <x:c r="G19" s="54" t="str">
        <x:v>Rendering prohibited</x:v>
      </x:c>
    </x:row>
    <x:row r="20">
      <x:c r="A20" s="54" t="str">
        <x:v>Workforce</x:v>
      </x:c>
      <x:c r="B20" s="54" t="str">
        <x:v>Qualifications, shifts, exposure, rotation and schools</x:v>
      </x:c>
      <x:c r="C20" s="55" t="str">
        <x:v>Open</x:v>
      </x:c>
      <x:c r="D20" s="54" t="str">
        <x:v>Service acquisition</x:v>
      </x:c>
      <x:c r="E20" s="54" t="str">
        <x:v>No R3 credit</x:v>
      </x:c>
      <x:c r="F20" s="54" t="str">
        <x:v>Representative configuration evidence</x:v>
      </x:c>
      <x:c r="G20" s="54" t="str">
        <x:v>Rendering prohibited</x:v>
      </x:c>
    </x:row>
    <x:row r="21">
      <x:c r="A21" s="54" t="str">
        <x:v>Concurrency</x:v>
      </x:c>
      <x:c r="B21" s="54" t="str">
        <x:v>Correlated demand, reliability and reconstitution</x:v>
      </x:c>
      <x:c r="C21" s="55" t="str">
        <x:v>Open</x:v>
      </x:c>
      <x:c r="D21" s="54" t="str">
        <x:v>Service acquisition</x:v>
      </x:c>
      <x:c r="E21" s="54" t="str">
        <x:v>No R3 credit</x:v>
      </x:c>
      <x:c r="F21" s="54" t="str">
        <x:v>Representative configuration evidence</x:v>
      </x:c>
      <x:c r="G21" s="54" t="str">
        <x:v>Rendering prohibited</x:v>
      </x:c>
    </x:row>
    <x:row r="22">
      <x:c r="A22" s="54" t="str">
        <x:v>Works carriers</x:v>
      </x:c>
      <x:c r="B22" s="54" t="str">
        <x:v>Stability, lift, locks/ports, crew and maintenance</x:v>
      </x:c>
      <x:c r="C22" s="55" t="str">
        <x:v>Open</x:v>
      </x:c>
      <x:c r="D22" s="54" t="str">
        <x:v>Service acquisition</x:v>
      </x:c>
      <x:c r="E22" s="54" t="str">
        <x:v>No R3 credit</x:v>
      </x:c>
      <x:c r="F22" s="54" t="str">
        <x:v>Representative configuration evidence</x:v>
      </x:c>
      <x:c r="G22" s="54" t="str">
        <x:v>Rendering prohibited</x:v>
      </x:c>
    </x:row>
    <x:row r="23">
      <x:c r="A23" s="54" t="str">
        <x:v>Lifecycle and industry</x:v>
      </x:c>
      <x:c r="B23" s="54" t="str">
        <x:v>Cost, production, suppliers and depots</x:v>
      </x:c>
      <x:c r="C23" s="55" t="str">
        <x:v>Open</x:v>
      </x:c>
      <x:c r="D23" s="54" t="str">
        <x:v>Service acquisition</x:v>
      </x:c>
      <x:c r="E23" s="54" t="str">
        <x:v>No R3 credit</x:v>
      </x:c>
      <x:c r="F23" s="54" t="str">
        <x:v>Representative configuration evidence</x:v>
      </x:c>
      <x:c r="G23" s="54" t="str">
        <x:v>Rendering prohibited</x:v>
      </x:c>
    </x:row>
    <x:row r="24">
      <x:c r="A24" s="54" t="str">
        <x:v>Complete mission thread</x:v>
      </x:c>
      <x:c r="B24" s="54" t="str">
        <x:v>Independent operational test from sensing through transfer</x:v>
      </x:c>
      <x:c r="C24" s="55" t="str">
        <x:v>Open</x:v>
      </x:c>
      <x:c r="D24" s="54" t="str">
        <x:v>Independent test authority</x:v>
      </x:c>
      <x:c r="E24" s="54" t="str">
        <x:v>No R3 credit</x:v>
      </x:c>
      <x:c r="F24" s="54" t="str">
        <x:v>Representative configuration evidence</x:v>
      </x:c>
      <x:c r="G24" s="54" t="str">
        <x:v>Rendering prohibited</x:v>
      </x:c>
    </x:row>
    <x:row r="25">
      <x:c r="A25" s="54"/>
      <x:c r="B25" s="54"/>
      <x:c r="C25" s="54"/>
      <x:c r="D25" s="54"/>
      <x:c r="E25" s="54"/>
      <x:c r="F25" s="54"/>
      <x:c r="G25" s="54"/>
    </x:row>
    <x:row r="26">
      <x:c r="A26" s="54" t="str">
        <x:v>Open gates</x:v>
      </x:c>
      <x:c r="B26" s="63" t="n">
        <x:f>COUNTIF(C5:C24,"&lt;&gt;Verified")</x:f>
        <x:v>20</x:v>
      </x:c>
      <x:c r="C26" s="54"/>
      <x:c r="D26" s="54"/>
      <x:c r="E26" s="54"/>
      <x:c r="F26" s="54"/>
      <x:c r="G26" s="54" t="str">
        <x:v>All must be verified for R3</x:v>
      </x:c>
    </x:row>
    <x:row r="27">
      <x:c r="A27" s="54" t="str">
        <x:v>Maturity</x:v>
      </x:c>
      <x:c r="B27" s="63" t="str">
        <x:f>IF(B26=0,"R3 candidate","R2+")</x:f>
        <x:v>R2+</x:v>
      </x:c>
      <x:c r="C27" s="54"/>
      <x:c r="D27" s="54"/>
      <x:c r="E27" s="54"/>
      <x:c r="F27" s="54"/>
      <x:c r="G27" s="54" t="str">
        <x:v>Integrated configuration only</x:v>
      </x:c>
    </x:row>
    <x:row r="28">
      <x:c r="A28" s="54" t="str">
        <x:v>Rendering</x:v>
      </x:c>
      <x:c r="B28" s="63" t="str">
        <x:f>IF(B26=0,"Eligible for controlled brief","Prohibited")</x:f>
        <x:v>Prohibited</x:v>
      </x:c>
      <x:c r="C28" s="54"/>
      <x:c r="D28" s="54"/>
      <x:c r="E28" s="54"/>
      <x:c r="F28" s="54"/>
      <x:c r="G28" s="54" t="str">
        <x:v>No exterior concept art before closure</x:v>
      </x:c>
    </x:row>
    <x:row r="29">
      <x:c r="A29" s="54"/>
      <x:c r="B29" s="54"/>
      <x:c r="C29" s="54"/>
      <x:c r="D29" s="54"/>
      <x:c r="E29" s="54"/>
      <x:c r="F29" s="54"/>
      <x:c r="G29" s="54"/>
    </x:row>
    <x:row r="30">
      <x:c r="A30" s="54"/>
      <x:c r="B30" s="54"/>
      <x:c r="C30" s="54"/>
      <x:c r="D30" s="54"/>
      <x:c r="E30" s="54"/>
      <x:c r="F30" s="54"/>
      <x:c r="G30" s="54"/>
    </x:row>
  </x:sheetData>
  <x:mergeCells>
    <x:mergeCell ref="A1:G1"/>
    <x:mergeCell ref="A2:G2"/>
  </x:mergeCells>
  <x:dataValidations count="1">
    <x:dataValidation type="list" sqref="C5:C24">
      <x:formula1>"Open,Partial,Verified"</x:formula1>
    </x:dataValidation>
  </x:dataValidations>
  <x:pageMargins left="0.7" right="0.7" top="0.75" bottom="0.75" header="0.3" footer="0.3"/>
</x:worksheet>
</file>