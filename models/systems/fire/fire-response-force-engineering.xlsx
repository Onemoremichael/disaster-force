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358343270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&amp; Sources" sheetId="1" r:id="R0455eb4e47d44f3a"/>
    <x:sheet xmlns:r="http://schemas.openxmlformats.org/officeDocument/2006/relationships" name="Controls" sheetId="2" r:id="R2edd5374e2f644a5"/>
    <x:sheet xmlns:r="http://schemas.openxmlformats.org/officeDocument/2006/relationships" name="Fire Cases" sheetId="3" r:id="R757aa3292c564f66"/>
    <x:sheet xmlns:r="http://schemas.openxmlformats.org/officeDocument/2006/relationships" name="Detection Intercept" sheetId="4" r:id="R1d0352952d46458e"/>
    <x:sheet xmlns:r="http://schemas.openxmlformats.org/officeDocument/2006/relationships" name="Fire Growth" sheetId="5" r:id="R720fac5bb52241b3"/>
    <x:sheet xmlns:r="http://schemas.openxmlformats.org/officeDocument/2006/relationships" name="Aircraft Families" sheetId="6" r:id="Re2cb97f980204ffb"/>
    <x:sheet xmlns:r="http://schemas.openxmlformats.org/officeDocument/2006/relationships" name="Air Mission Cycle" sheetId="7" r:id="R808ef48cc3944599"/>
    <x:sheet xmlns:r="http://schemas.openxmlformats.org/officeDocument/2006/relationships" name="Drop Yield" sheetId="8" r:id="R52f51dadecc9465f"/>
    <x:sheet xmlns:r="http://schemas.openxmlformats.org/officeDocument/2006/relationships" name="Airspace Capacity" sheetId="9" r:id="Re6013a40069540e5"/>
    <x:sheet xmlns:r="http://schemas.openxmlformats.org/officeDocument/2006/relationships" name="Air Base Throughput" sheetId="10" r:id="R13520feaf5fe45a5"/>
    <x:sheet xmlns:r="http://schemas.openxmlformats.org/officeDocument/2006/relationships" name="Ground Production" sheetId="11" r:id="Rb6f91dfaf3634535"/>
    <x:sheet xmlns:r="http://schemas.openxmlformats.org/officeDocument/2006/relationships" name="Line Hold" sheetId="12" r:id="R2aaba01228154b43"/>
    <x:sheet xmlns:r="http://schemas.openxmlformats.org/officeDocument/2006/relationships" name="Ground Robotics" sheetId="13" r:id="R3c7a24b79c5b4771"/>
    <x:sheet xmlns:r="http://schemas.openxmlformats.org/officeDocument/2006/relationships" name="Water Agent" sheetId="14" r:id="R289f442b421d4e77"/>
    <x:sheet xmlns:r="http://schemas.openxmlformats.org/officeDocument/2006/relationships" name="Structure Defense" sheetId="15" r:id="R528b72b71dca44f9"/>
    <x:sheet xmlns:r="http://schemas.openxmlformats.org/officeDocument/2006/relationships" name="Smoke Thermal" sheetId="16" r:id="R455ee651ee9c4712"/>
    <x:sheet xmlns:r="http://schemas.openxmlformats.org/officeDocument/2006/relationships" name="Deployment Manifest" sheetId="17" r:id="R1216d43f27524cf6"/>
    <x:sheet xmlns:r="http://schemas.openxmlformats.org/officeDocument/2006/relationships" name="Workforce Rotation" sheetId="18" r:id="Reb06e3cb3ecb4634"/>
    <x:sheet xmlns:r="http://schemas.openxmlformats.org/officeDocument/2006/relationships" name="Readiness Concurrency" sheetId="19" r:id="Rddf5cd8c1f0b4825"/>
    <x:sheet xmlns:r="http://schemas.openxmlformats.org/officeDocument/2006/relationships" name="Technology Roadmap" sheetId="20" r:id="R9a0322ddb0854345"/>
    <x:sheet xmlns:r="http://schemas.openxmlformats.org/officeDocument/2006/relationships" name="Cost RDT&amp;E" sheetId="21" r:id="R39b4528c371b4279"/>
    <x:sheet xmlns:r="http://schemas.openxmlformats.org/officeDocument/2006/relationships" name="Failure Modes" sheetId="22" r:id="R3eb9131bae10469b"/>
    <x:sheet xmlns:r="http://schemas.openxmlformats.org/officeDocument/2006/relationships" name="R3 Evidence Gate" sheetId="23" r:id="R72bb236b357d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0.0%"/>
    <x:numFmt numFmtId="202" formatCode="#,##0"/>
    <x:numFmt numFmtId="203" formatCode="#,##0.0"/>
    <x:numFmt numFmtId="204" formatCode="0.0"/>
    <x:numFmt numFmtId="205" formatCode="#,##0.00"/>
    <x:numFmt numFmtId="206" formatCode="$#,##0.0"/>
    <x:numFmt numFmtId="207" formatCode="$#,##0"/>
  </x:numFmts>
  <x:fonts count="9">
    <x:font>
      <x:sz val="11"/>
      <x:name val="Carlito"/>
    </x:font>
    <x:font>
      <x:b/>
      <x:sz val="16"/>
      <x:color rgb="FF172033"/>
      <x:name val="Helvetica Neue"/>
    </x:font>
    <x:font>
      <x:i/>
      <x:sz val="10"/>
      <x:color rgb="FF667085"/>
      <x:name val="Helvetica Neue"/>
    </x:font>
    <x:font>
      <x:b/>
      <x:sz val="10"/>
      <x:color rgb="FFFFFFFF"/>
      <x:name val="Helvetica Neue"/>
    </x:font>
    <x:font>
      <x:b/>
      <x:sz val="10"/>
      <x:color rgb="FF172033"/>
      <x:name val="Helvetica Neue"/>
    </x:font>
    <x:font>
      <x:i/>
      <x:sz val="9"/>
      <x:color rgb="FF667085"/>
      <x:name val="Helvetica Neue"/>
    </x:font>
    <x:font>
      <x:sz val="10"/>
      <x:color rgb="FF172033"/>
      <x:name val="Helvetica Neue"/>
    </x:font>
    <x:font>
      <x:i/>
      <x:sz val="10"/>
      <x:color rgb="FF172033"/>
      <x:name val="Helvetica Neue"/>
    </x:font>
    <x:font>
      <x:sz val="9"/>
      <x:color rgb="FF172033"/>
      <x:name val="Helvetica Neue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4F7"/>
      </x:patternFill>
    </x:fill>
  </x:fills>
  <x:borders count="8">
    <x:border/>
    <x:border>
      <x:bottom style="medium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203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1" fontId="6" fillId="3" borderId="0" xfId="0" applyNumberFormat="1" applyFont="1" applyFill="1" applyBorder="1"/>
    <x:xf numFmtId="202" fontId="6" fillId="3" borderId="0" xfId="0" applyNumberFormat="1" applyFont="1" applyFill="1" applyBorder="1"/>
    <x:xf numFmtId="203" fontId="6" fillId="4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vertical="top"/>
    </x:xf>
    <x:xf numFmtId="200" fontId="6" fillId="3" borderId="0" xfId="0" applyNumberFormat="1" applyFont="1" applyFill="1" applyBorder="1" applyAlignment="1">
      <x:alignment vertical="top"/>
    </x:xf>
    <x:xf numFmtId="201" fontId="6" fillId="3" borderId="0" xfId="0" applyNumberFormat="1" applyFont="1" applyFill="1" applyBorder="1" applyAlignment="1">
      <x:alignment vertical="top"/>
    </x:xf>
    <x:xf numFmtId="202" fontId="6" fillId="3" borderId="0" xfId="0" applyNumberFormat="1" applyFont="1" applyFill="1" applyBorder="1" applyAlignment="1">
      <x:alignment vertical="top"/>
    </x:xf>
    <x:xf numFmtId="0" fontId="4" fillId="4" borderId="5" xfId="0" applyNumberFormat="1" applyFont="1" applyFill="1" applyBorder="1" applyAlignment="1">
      <x:alignment vertical="top"/>
    </x:xf>
    <x:xf numFmtId="0" fontId="4" fillId="4" borderId="6" xfId="0" applyNumberFormat="1" applyFont="1" applyFill="1" applyBorder="1" applyAlignment="1">
      <x:alignment vertical="top"/>
    </x:xf>
    <x:xf numFmtId="0" fontId="4" fillId="4" borderId="7" xfId="0" applyNumberFormat="1" applyFont="1" applyFill="1" applyBorder="1" applyAlignment="1">
      <x:alignment vertical="top"/>
    </x:xf>
    <x:xf numFmtId="203" fontId="6" fillId="4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200" fontId="6" fillId="3" borderId="0" xfId="0" applyNumberFormat="1" applyFont="1" applyFill="1" applyBorder="1" applyAlignment="1">
      <x:alignment vertical="top" wrapText="1"/>
    </x:xf>
    <x:xf numFmtId="201" fontId="6" fillId="3" borderId="0" xfId="0" applyNumberFormat="1" applyFont="1" applyFill="1" applyBorder="1" applyAlignment="1">
      <x:alignment vertical="top" wrapText="1"/>
    </x:xf>
    <x:xf numFmtId="202" fontId="6" fillId="3" borderId="0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203" fontId="6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202" fontId="6" fillId="4" borderId="0" xfId="0" applyNumberFormat="1" applyFont="1" applyFill="1" applyBorder="1"/>
    <x:xf numFmtId="200" fontId="6" fillId="4" borderId="0" xfId="0" applyNumberFormat="1" applyFont="1" applyFill="1" applyBorder="1" applyAlignment="1">
      <x:alignment vertical="top"/>
    </x:xf>
    <x:xf numFmtId="201" fontId="6" fillId="4" borderId="0" xfId="0" applyNumberFormat="1" applyFont="1" applyFill="1" applyBorder="1" applyAlignment="1">
      <x:alignment vertical="top"/>
    </x:xf>
    <x:xf numFmtId="202" fontId="6" fillId="4" borderId="0" xfId="0" applyNumberFormat="1" applyFont="1" applyFill="1" applyBorder="1" applyAlignment="1">
      <x:alignment vertical="top"/>
    </x:xf>
    <x:xf numFmtId="200" fontId="6" fillId="4" borderId="0" xfId="0" applyNumberFormat="1" applyFont="1" applyFill="1" applyBorder="1" applyAlignment="1">
      <x:alignment vertical="top" wrapText="1"/>
    </x:xf>
    <x:xf numFmtId="201" fontId="6" fillId="4" borderId="0" xfId="0" applyNumberFormat="1" applyFont="1" applyFill="1" applyBorder="1" applyAlignment="1">
      <x:alignment vertical="top" wrapText="1"/>
    </x:xf>
    <x:xf numFmtId="202" fontId="6" fillId="4" borderId="0" xfId="0" applyNumberFormat="1" applyFont="1" applyFill="1" applyBorder="1" applyAlignment="1">
      <x:alignment vertical="top" wrapText="1"/>
    </x:xf>
    <x:xf numFmtId="203" fontId="0" fillId="3" borderId="0" xfId="0" applyNumberFormat="1" applyFont="1" applyFill="1" applyBorder="1"/>
    <x:xf numFmtId="203" fontId="6" fillId="3" borderId="0" xfId="0" applyNumberFormat="1" applyFont="1" applyFill="1" applyBorder="1"/>
    <x:xf numFmtId="203" fontId="6" fillId="3" borderId="0" xfId="0" applyNumberFormat="1" applyFont="1" applyFill="1" applyBorder="1" applyAlignment="1">
      <x:alignment vertical="top"/>
    </x:xf>
    <x:xf numFmtId="203" fontId="6" fillId="3" borderId="0" xfId="0" applyNumberFormat="1" applyFont="1" applyFill="1" applyBorder="1" applyAlignment="1">
      <x:alignment vertical="top" wrapText="1"/>
    </x:xf>
    <x:xf numFmtId="204" fontId="0" fillId="4" borderId="0" xfId="0" applyNumberFormat="1" applyFont="1" applyFill="1" applyBorder="1"/>
    <x:xf numFmtId="204" fontId="6" fillId="4" borderId="0" xfId="0" applyNumberFormat="1" applyFont="1" applyFill="1" applyBorder="1"/>
    <x:xf numFmtId="204" fontId="6" fillId="4" borderId="0" xfId="0" applyNumberFormat="1" applyFont="1" applyFill="1" applyBorder="1" applyAlignment="1">
      <x:alignment vertical="top"/>
    </x:xf>
    <x:xf numFmtId="204" fontId="6" fillId="4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4" borderId="0" xfId="0" applyNumberFormat="1" applyFont="1" applyFill="1" applyBorder="1"/>
    <x:xf numFmtId="202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0" xfId="0" applyNumberFormat="1" applyFont="1" applyFill="1" applyBorder="1" applyAlignment="1">
      <x:alignment vertical="top"/>
    </x:xf>
    <x:xf numFmtId="203" fontId="6" fillId="0" borderId="0" xfId="0" applyNumberFormat="1" applyFont="1" applyFill="1" applyBorder="1" applyAlignment="1">
      <x:alignment vertical="top" wrapText="1"/>
    </x:xf>
    <x:xf numFmtId="205" fontId="0" fillId="3" borderId="0" xfId="0" applyNumberFormat="1" applyFont="1" applyFill="1" applyBorder="1"/>
    <x:xf numFmtId="205" fontId="0" fillId="4" borderId="0" xfId="0" applyNumberFormat="1" applyFont="1" applyFill="1" applyBorder="1"/>
    <x:xf numFmtId="205" fontId="6" fillId="3" borderId="0" xfId="0" applyNumberFormat="1" applyFont="1" applyFill="1" applyBorder="1"/>
    <x:xf numFmtId="205" fontId="6" fillId="4" borderId="0" xfId="0" applyNumberFormat="1" applyFont="1" applyFill="1" applyBorder="1"/>
    <x:xf numFmtId="205" fontId="6" fillId="3" borderId="0" xfId="0" applyNumberFormat="1" applyFont="1" applyFill="1" applyBorder="1" applyAlignment="1">
      <x:alignment vertical="top"/>
    </x:xf>
    <x:xf numFmtId="205" fontId="6" fillId="4" borderId="0" xfId="0" applyNumberFormat="1" applyFont="1" applyFill="1" applyBorder="1" applyAlignment="1">
      <x:alignment vertical="top"/>
    </x:xf>
    <x:xf numFmtId="205" fontId="6" fillId="3" borderId="0" xfId="0" applyNumberFormat="1" applyFont="1" applyFill="1" applyBorder="1" applyAlignment="1">
      <x:alignment vertical="top" wrapText="1"/>
    </x:xf>
    <x:xf numFmtId="205" fontId="6" fillId="4" borderId="0" xfId="0" applyNumberFormat="1" applyFont="1" applyFill="1" applyBorder="1" applyAlignment="1">
      <x:alignment vertical="top" wrapText="1"/>
    </x:xf>
    <x:xf numFmtId="206" fontId="0" fillId="4" borderId="0" xfId="0" applyNumberFormat="1" applyFont="1" applyFill="1" applyBorder="1"/>
    <x:xf numFmtId="206" fontId="6" fillId="4" borderId="0" xfId="0" applyNumberFormat="1" applyFont="1" applyFill="1" applyBorder="1"/>
    <x:xf numFmtId="206" fontId="6" fillId="4" borderId="0" xfId="0" applyNumberFormat="1" applyFont="1" applyFill="1" applyBorder="1" applyAlignment="1">
      <x:alignment vertical="top"/>
    </x:xf>
    <x:xf numFmtId="206" fontId="6" fillId="4" borderId="0" xfId="0" applyNumberFormat="1" applyFont="1" applyFill="1" applyBorder="1" applyAlignment="1">
      <x:alignment vertical="top" wrapText="1"/>
    </x:xf>
    <x:xf numFmtId="206" fontId="0" fillId="3" borderId="0" xfId="0" applyNumberFormat="1" applyFont="1" applyFill="1" applyBorder="1"/>
    <x:xf numFmtId="206" fontId="6" fillId="3" borderId="0" xfId="0" applyNumberFormat="1" applyFont="1" applyFill="1" applyBorder="1"/>
    <x:xf numFmtId="206" fontId="6" fillId="3" borderId="0" xfId="0" applyNumberFormat="1" applyFont="1" applyFill="1" applyBorder="1" applyAlignment="1">
      <x:alignment vertical="top"/>
    </x:xf>
    <x:xf numFmtId="206" fontId="6" fillId="3" borderId="0" xfId="0" applyNumberFormat="1" applyFont="1" applyFill="1" applyBorder="1" applyAlignment="1">
      <x:alignment vertical="top" wrapText="1"/>
    </x:xf>
    <x:xf numFmtId="207" fontId="0" fillId="3" borderId="0" xfId="0" applyNumberFormat="1" applyFont="1" applyFill="1" applyBorder="1"/>
    <x:xf numFmtId="207" fontId="6" fillId="3" borderId="0" xfId="0" applyNumberFormat="1" applyFont="1" applyFill="1" applyBorder="1"/>
    <x:xf numFmtId="207" fontId="6" fillId="3" borderId="0" xfId="0" applyNumberFormat="1" applyFont="1" applyFill="1" applyBorder="1" applyAlignment="1">
      <x:alignment vertical="top"/>
    </x:xf>
    <x:xf numFmtId="207" fontId="6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a038f92a7493d" /><Relationship Type="http://schemas.openxmlformats.org/officeDocument/2006/relationships/theme" Target="/xl/theme/theme1.xml" Id="Rd047a53dc6194a2b" /><Relationship Type="http://schemas.openxmlformats.org/officeDocument/2006/relationships/sharedStrings" Target="/xl/sharedStrings.xml" Id="R9526d4b412d24927" /><Relationship Type="http://schemas.openxmlformats.org/officeDocument/2006/relationships/worksheet" Target="/xl/worksheets/sheet1.xml" Id="R0455eb4e47d44f3a" /><Relationship Type="http://schemas.openxmlformats.org/officeDocument/2006/relationships/worksheet" Target="/xl/worksheets/sheet2.xml" Id="R2edd5374e2f644a5" /><Relationship Type="http://schemas.openxmlformats.org/officeDocument/2006/relationships/worksheet" Target="/xl/worksheets/sheet3.xml" Id="R757aa3292c564f66" /><Relationship Type="http://schemas.openxmlformats.org/officeDocument/2006/relationships/worksheet" Target="/xl/worksheets/sheet4.xml" Id="R1d0352952d46458e" /><Relationship Type="http://schemas.openxmlformats.org/officeDocument/2006/relationships/worksheet" Target="/xl/worksheets/sheet5.xml" Id="R720fac5bb52241b3" /><Relationship Type="http://schemas.openxmlformats.org/officeDocument/2006/relationships/worksheet" Target="/xl/worksheets/sheet6.xml" Id="Re2cb97f980204ffb" /><Relationship Type="http://schemas.openxmlformats.org/officeDocument/2006/relationships/worksheet" Target="/xl/worksheets/sheet7.xml" Id="R808ef48cc3944599" /><Relationship Type="http://schemas.openxmlformats.org/officeDocument/2006/relationships/worksheet" Target="/xl/worksheets/sheet8.xml" Id="R52f51dadecc9465f" /><Relationship Type="http://schemas.openxmlformats.org/officeDocument/2006/relationships/worksheet" Target="/xl/worksheets/sheet9.xml" Id="Re6013a40069540e5" /><Relationship Type="http://schemas.openxmlformats.org/officeDocument/2006/relationships/worksheet" Target="/xl/worksheets/sheet10.xml" Id="R13520feaf5fe45a5" /><Relationship Type="http://schemas.openxmlformats.org/officeDocument/2006/relationships/worksheet" Target="/xl/worksheets/sheet11.xml" Id="Rb6f91dfaf3634535" /><Relationship Type="http://schemas.openxmlformats.org/officeDocument/2006/relationships/worksheet" Target="/xl/worksheets/sheet12.xml" Id="R2aaba01228154b43" /><Relationship Type="http://schemas.openxmlformats.org/officeDocument/2006/relationships/worksheet" Target="/xl/worksheets/sheet13.xml" Id="R3c7a24b79c5b4771" /><Relationship Type="http://schemas.openxmlformats.org/officeDocument/2006/relationships/worksheet" Target="/xl/worksheets/sheet14.xml" Id="R289f442b421d4e77" /><Relationship Type="http://schemas.openxmlformats.org/officeDocument/2006/relationships/worksheet" Target="/xl/worksheets/sheet15.xml" Id="R528b72b71dca44f9" /><Relationship Type="http://schemas.openxmlformats.org/officeDocument/2006/relationships/worksheet" Target="/xl/worksheets/sheet16.xml" Id="R455ee651ee9c4712" /><Relationship Type="http://schemas.openxmlformats.org/officeDocument/2006/relationships/worksheet" Target="/xl/worksheets/sheet17.xml" Id="R1216d43f27524cf6" /><Relationship Type="http://schemas.openxmlformats.org/officeDocument/2006/relationships/worksheet" Target="/xl/worksheets/sheet18.xml" Id="Reb06e3cb3ecb4634" /><Relationship Type="http://schemas.openxmlformats.org/officeDocument/2006/relationships/worksheet" Target="/xl/worksheets/sheet19.xml" Id="Rddf5cd8c1f0b4825" /><Relationship Type="http://schemas.openxmlformats.org/officeDocument/2006/relationships/worksheet" Target="/xl/worksheets/sheet20.xml" Id="R9a0322ddb0854345" /><Relationship Type="http://schemas.openxmlformats.org/officeDocument/2006/relationships/worksheet" Target="/xl/worksheets/sheet21.xml" Id="R39b4528c371b4279" /><Relationship Type="http://schemas.openxmlformats.org/officeDocument/2006/relationships/worksheet" Target="/xl/worksheets/sheet22.xml" Id="R3eb9131bae10469b" /><Relationship Type="http://schemas.openxmlformats.org/officeDocument/2006/relationships/worksheet" Target="/xl/worksheets/sheet23.xml" Id="R72bb236b357d41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8a1289886140b2" /><Relationship Type="http://schemas.openxmlformats.org/officeDocument/2006/relationships/chart" Target="/xl/drawings/charts/chart2.xml" Id="Rb8b4de11c9b74f7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5a879a14bef42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Helvetica Neue"/>
                <a:ea typeface="Helvetica Neue"/>
                <a:cs typeface="Helvetica Neue"/>
              </a:rPr>
              <a:t>Intercept clock by stage (minutes)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Helvetica Neue"/>
              <a:ea typeface="Helvetica Neue"/>
              <a:cs typeface="Helvetica Neue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P50</c:v>
          </c:tx>
          <c:cat>
            <c:strRef>
              <c:f>'Summary &amp; Sources'!$F$5:$F$10</c:f>
              <c:strCache>
                <c:ptCount val="0"/>
              </c:strCache>
            </c:strRef>
          </c:cat>
          <c:val>
            <c:numRef>
              <c:f>'Summary &amp; Sources'!$G$5:$G$10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P90</c:v>
          </c:tx>
          <c:cat>
            <c:strRef>
              <c:f>'Summary &amp; Sources'!$F$5:$F$10</c:f>
              <c:strCache>
                <c:ptCount val="0"/>
              </c:strCache>
            </c:strRef>
          </c:cat>
          <c:val>
            <c:numRef>
              <c:f>'Summary &amp; Sources'!$H$5:$H$10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Helvetica Neue"/>
                <a:ea typeface="Helvetica Neue"/>
                <a:cs typeface="Helvetica Neue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Helvetica Neue"/>
                <a:ea typeface="Helvetica Neue"/>
                <a:cs typeface="Helvetica Neue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Helvetica Neue"/>
              <a:ea typeface="Helvetica Neue"/>
              <a:cs typeface="Helvetica Neue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Helvetica Neue"/>
                <a:ea typeface="Helvetica Neue"/>
                <a:cs typeface="Helvetica Neue"/>
              </a:rPr>
              <a:t>Effective control line by source (km/day)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Helvetica Neue"/>
              <a:ea typeface="Helvetica Neue"/>
              <a:cs typeface="Helvetica Neue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Effective km/day</c:v>
          </c:tx>
          <c:cat>
            <c:strRef>
              <c:f>'Summary &amp; Sources'!$F$14:$F$17</c:f>
              <c:strCache>
                <c:ptCount val="0"/>
              </c:strCache>
            </c:strRef>
          </c:cat>
          <c:val>
            <c:numRef>
              <c:f>'Summary &amp; Sources'!$G$14:$G$17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Helvetica Neue"/>
                <a:ea typeface="Helvetica Neue"/>
                <a:cs typeface="Helvetica Neue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Helvetica Neue"/>
                <a:ea typeface="Helvetica Neue"/>
                <a:cs typeface="Helvetica Neue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Helvetica Neue"/>
                <a:ea typeface="Helvetica Neue"/>
                <a:cs typeface="Helvetica Neue"/>
              </a:rPr>
              <a:t>Capital allocation ($B, real 2026)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Helvetica Neue"/>
              <a:ea typeface="Helvetica Neue"/>
              <a:cs typeface="Helvetica Neue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Amount ($B)</c:v>
          </c:tx>
          <c:cat>
            <c:strRef>
              <c:f>'Cost RDT&amp;E'!$A$5:$A$13</c:f>
              <c:strCache>
                <c:ptCount val="0"/>
              </c:strCache>
            </c:strRef>
          </c:cat>
          <c:val>
            <c:numRef>
              <c:f>'Cost RDT&amp;E'!$B$5:$B$13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Helvetica Neue"/>
                <a:ea typeface="Helvetica Neue"/>
                <a:cs typeface="Helvetica Neue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Helvetica Neue"/>
                <a:ea typeface="Helvetica Neue"/>
                <a:cs typeface="Helvetica Neue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8a1289886140b2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b4de11c9b74f7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a879a14bef420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d6fc1a8660472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.xml" Id="Rb90c165b097d4d2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24" hidden="0" customWidth="1"/>
    <x:col min="3" max="3" width="18" hidden="0" customWidth="1"/>
    <x:col min="4" max="4" width="42" hidden="0" customWidth="1"/>
    <x:col min="5" max="5" width="56" hidden="0" customWidth="1"/>
    <x:col min="6" max="6" width="42" hidden="0" customWidth="1"/>
    <x:col min="7" max="7" width="20" hidden="0" customWidth="1"/>
    <x:col min="8" max="8" width="14" hidden="0" customWidth="1"/>
    <x:col min="9" max="9" width="4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>
      <x:c r="A1" s="121" t="str">
        <x:v>Department of Resilience fire-force configuration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</x:row>
    <x:row r="2">
      <x:c r="A2" s="119" t="str">
        <x:v>Editable screening model for the Ignition Intercept Network and Integrated Fire Control Group. Baseline: IFCG Campaign / WUI wind-driven fire.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  <x:c r="O2" s="119"/>
      <x:c r="P2" s="119"/>
      <x:c r="Q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</x:row>
    <x:row r="4">
      <x:c r="A4" s="10" t="str">
        <x:v>Decision metric</x:v>
      </x:c>
      <x:c r="B4" s="11" t="str">
        <x:v>Value</x:v>
      </x:c>
      <x:c r="C4" s="11" t="str">
        <x:v>Unit</x:v>
      </x:c>
      <x:c r="D4" s="12" t="str">
        <x:v>Interpretation</x:v>
      </x:c>
      <x:c r="E4" s="57"/>
      <x:c r="F4" s="10" t="str">
        <x:v>Intercept stage</x:v>
      </x:c>
      <x:c r="G4" s="11" t="str">
        <x:v>P50</x:v>
      </x:c>
      <x:c r="H4" s="12" t="str">
        <x:v>P90</x:v>
      </x:c>
      <x:c r="I4" s="57"/>
      <x:c r="J4" s="57"/>
      <x:c r="K4" s="57"/>
      <x:c r="L4" s="57"/>
      <x:c r="M4" s="57"/>
      <x:c r="N4" s="57"/>
      <x:c r="O4" s="57"/>
      <x:c r="P4" s="57"/>
      <x:c r="Q4" s="57"/>
    </x:row>
    <x:row r="5">
      <x:c r="A5" s="57" t="str">
        <x:v>Maturity</x:v>
      </x:c>
      <x:c r="B5" s="92" t="str">
        <x:f>'R3 Evidence Gate'!$C$26</x:f>
        <x:v>R2+</x:v>
      </x:c>
      <x:c r="C5" s="57" t="str">
        <x:v>level</x:v>
      </x:c>
      <x:c r="D5" s="57" t="str">
        <x:v>R2+ prohibits rendering</x:v>
      </x:c>
      <x:c r="E5" s="57"/>
      <x:c r="F5" s="57" t="str">
        <x:v>Detection</x:v>
      </x:c>
      <x:c r="G5" s="85" t="n">
        <x:f>'Detection Intercept'!$B$5</x:f>
        <x:v>7</x:v>
      </x:c>
      <x:c r="H5" s="85" t="n">
        <x:f>'Detection Intercept'!$C$5</x:f>
        <x:v>16</x:v>
      </x:c>
      <x:c r="I5" s="57"/>
      <x:c r="J5" s="57"/>
      <x:c r="K5" s="57"/>
      <x:c r="L5" s="57"/>
      <x:c r="M5" s="57"/>
      <x:c r="N5" s="57"/>
      <x:c r="O5" s="57"/>
      <x:c r="P5" s="57"/>
      <x:c r="Q5" s="57"/>
    </x:row>
    <x:row r="6">
      <x:c r="A6" s="57" t="str">
        <x:v>Formation state</x:v>
      </x:c>
      <x:c r="B6" s="92" t="str">
        <x:f>'Controls'!$C$5</x:f>
        <x:v>IFCG Campaign</x:v>
      </x:c>
      <x:c r="C6" s="57" t="str">
        <x:v>case</x:v>
      </x:c>
      <x:c r="D6" s="57" t="str">
        <x:v>Selected package</x:v>
      </x:c>
      <x:c r="E6" s="57"/>
      <x:c r="F6" s="57" t="str">
        <x:v>Verification</x:v>
      </x:c>
      <x:c r="G6" s="85" t="n">
        <x:f>'Detection Intercept'!$B$6</x:f>
        <x:v>7</x:v>
      </x:c>
      <x:c r="H6" s="85" t="n">
        <x:f>'Detection Intercept'!$C$6</x:f>
        <x:v>16</x:v>
      </x:c>
      <x:c r="I6" s="57"/>
      <x:c r="J6" s="57"/>
      <x:c r="K6" s="57"/>
      <x:c r="L6" s="57"/>
      <x:c r="M6" s="57"/>
      <x:c r="N6" s="57"/>
      <x:c r="O6" s="57"/>
      <x:c r="P6" s="57"/>
      <x:c r="Q6" s="57"/>
    </x:row>
    <x:row r="7">
      <x:c r="A7" s="57" t="str">
        <x:v>Fire case</x:v>
      </x:c>
      <x:c r="B7" s="92" t="str">
        <x:f>'Controls'!$C$6</x:f>
        <x:v>WUI wind-driven</x:v>
      </x:c>
      <x:c r="C7" s="57" t="str">
        <x:v>case</x:v>
      </x:c>
      <x:c r="D7" s="57" t="str">
        <x:v>Selected planning fire</x:v>
      </x:c>
      <x:c r="E7" s="57"/>
      <x:c r="F7" s="57" t="str">
        <x:v>Decision</x:v>
      </x:c>
      <x:c r="G7" s="85" t="n">
        <x:f>'Detection Intercept'!$B$7</x:f>
        <x:v>8</x:v>
      </x:c>
      <x:c r="H7" s="85" t="n">
        <x:f>'Detection Intercept'!$C$7</x:f>
        <x:v>18</x:v>
      </x:c>
      <x:c r="I7" s="57"/>
      <x:c r="J7" s="57"/>
      <x:c r="K7" s="57"/>
      <x:c r="L7" s="57"/>
      <x:c r="M7" s="57"/>
      <x:c r="N7" s="57"/>
      <x:c r="O7" s="57"/>
      <x:c r="P7" s="57"/>
      <x:c r="Q7" s="57"/>
    </x:row>
    <x:row r="8">
      <x:c r="A8" s="57" t="str">
        <x:v>P50 complete intercept</x:v>
      </x:c>
      <x:c r="B8" s="85" t="n">
        <x:f>'Detection Intercept'!$B$15</x:f>
        <x:v>69.59827213822894</x:v>
      </x:c>
      <x:c r="C8" s="57" t="str">
        <x:v>minutes</x:v>
      </x:c>
      <x:c r="D8" s="57" t="str">
        <x:v>Median screening clock</x:v>
      </x:c>
      <x:c r="E8" s="57"/>
      <x:c r="F8" s="57" t="str">
        <x:v>Launch</x:v>
      </x:c>
      <x:c r="G8" s="85" t="n">
        <x:f>'Detection Intercept'!$B$8</x:f>
        <x:v>18</x:v>
      </x:c>
      <x:c r="H8" s="85" t="n">
        <x:f>'Detection Intercept'!$C$8</x:f>
        <x:v>35</x:v>
      </x:c>
      <x:c r="I8" s="57"/>
      <x:c r="J8" s="57"/>
      <x:c r="K8" s="57"/>
      <x:c r="L8" s="57"/>
      <x:c r="M8" s="57"/>
      <x:c r="N8" s="57"/>
      <x:c r="O8" s="57"/>
      <x:c r="P8" s="57"/>
      <x:c r="Q8" s="57"/>
    </x:row>
    <x:row r="9">
      <x:c r="A9" s="57" t="str">
        <x:v>P90 complete intercept</x:v>
      </x:c>
      <x:c r="B9" s="85" t="n">
        <x:f>'Detection Intercept'!$B$16</x:f>
        <x:v>135.3974082073434</x:v>
      </x:c>
      <x:c r="C9" s="57" t="str">
        <x:v>minutes</x:v>
      </x:c>
      <x:c r="D9" s="57" t="str">
        <x:v>Tail screening clock</x:v>
      </x:c>
      <x:c r="E9" s="57"/>
      <x:c r="F9" s="57" t="str">
        <x:v>Transit</x:v>
      </x:c>
      <x:c r="G9" s="85" t="n">
        <x:f>'Detection Intercept'!$B$9</x:f>
        <x:v>21.598272138228943</x:v>
      </x:c>
      <x:c r="H9" s="85" t="n">
        <x:f>'Detection Intercept'!$C$9</x:f>
        <x:v>32.39740820734342</x:v>
      </x:c>
      <x:c r="I9" s="57"/>
      <x:c r="J9" s="57"/>
      <x:c r="K9" s="57"/>
      <x:c r="L9" s="57"/>
      <x:c r="M9" s="57"/>
      <x:c r="N9" s="57"/>
      <x:c r="O9" s="57"/>
      <x:c r="P9" s="57"/>
      <x:c r="Q9" s="57"/>
    </x:row>
    <x:row r="10">
      <x:c r="A10" s="57" t="str">
        <x:v>Modeled action before escape</x:v>
      </x:c>
      <x:c r="B10" s="76" t="n">
        <x:f>'Detection Intercept'!$B$20</x:f>
        <x:v>0.3335036127057373</x:v>
      </x:c>
      <x:c r="C10" s="57" t="str">
        <x:v>probability</x:v>
      </x:c>
      <x:c r="D10" s="57" t="str">
        <x:v>Approximation, not observed success</x:v>
      </x:c>
      <x:c r="E10" s="57"/>
      <x:c r="F10" s="57" t="str">
        <x:v>Target effect</x:v>
      </x:c>
      <x:c r="G10" s="85" t="n">
        <x:f>'Detection Intercept'!$B$10</x:f>
        <x:v>8</x:v>
      </x:c>
      <x:c r="H10" s="85" t="n">
        <x:f>'Detection Intercept'!$C$10</x:f>
        <x:v>18</x:v>
      </x:c>
      <x:c r="I10" s="57"/>
      <x:c r="J10" s="57"/>
      <x:c r="K10" s="57"/>
      <x:c r="L10" s="57"/>
      <x:c r="M10" s="57"/>
      <x:c r="N10" s="57"/>
      <x:c r="O10" s="57"/>
      <x:c r="P10" s="57"/>
      <x:c r="Q10" s="57"/>
    </x:row>
    <x:row r="11">
      <x:c r="A11" s="57" t="str">
        <x:v>P90 escape margin</x:v>
      </x:c>
      <x:c r="B11" s="104" t="n">
        <x:f>'Detection Intercept'!$B$19</x:f>
        <x:v>-85.3974082073434</x:v>
      </x:c>
      <x:c r="C11" s="57" t="str">
        <x:v>minutes</x:v>
      </x:c>
      <x:c r="D11" s="57" t="str">
        <x:v>Positive is earlier than threshold</x:v>
      </x:c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</x:row>
    <x:row r="12">
      <x:c r="A12" s="57" t="str">
        <x:v>Effective aerial sorties</x:v>
      </x:c>
      <x:c r="B12" s="104" t="n">
        <x:f>'Drop Yield'!$A$12</x:f>
        <x:v>798.276693914623</x:v>
      </x:c>
      <x:c r="C12" s="57" t="str">
        <x:v>sorties/day</x:v>
      </x:c>
      <x:c r="D12" s="57" t="str">
        <x:v>After shared constraints</x:v>
      </x:c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</x:row>
    <x:row r="13">
      <x:c r="A13" s="57" t="str">
        <x:v>Delivered aerial fluid</x:v>
      </x:c>
      <x:c r="B13" s="104" t="n">
        <x:f>'Drop Yield'!$B$12</x:f>
        <x:v>2876334.931880109</x:v>
      </x:c>
      <x:c r="C13" s="57" t="str">
        <x:v>gal/day</x:v>
      </x:c>
      <x:c r="D13" s="57" t="str">
        <x:v>Water plus finished retardant</x:v>
      </x:c>
      <x:c r="E13" s="57"/>
      <x:c r="F13" s="10" t="str">
        <x:v>Line source</x:v>
      </x:c>
      <x:c r="G13" s="12" t="str">
        <x:v>Effective km/day</x:v>
      </x:c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</x:row>
    <x:row r="14">
      <x:c r="A14" s="57" t="str">
        <x:v>Durable aerial line</x:v>
      </x:c>
      <x:c r="B14" s="104" t="n">
        <x:f>'Drop Yield'!$E$12</x:f>
        <x:v>111.91782788310624</x:v>
      </x:c>
      <x:c r="C14" s="57" t="str">
        <x:v>km/day</x:v>
      </x:c>
      <x:c r="D14" s="57" t="str">
        <x:v>After placement, interaction and hold</x:v>
      </x:c>
      <x:c r="E14" s="57"/>
      <x:c r="F14" s="57" t="str">
        <x:v>Hand crew</x:v>
      </x:c>
      <x:c r="G14" s="65" t="n">
        <x:f>'Line Hold'!$F$5</x:f>
        <x:v>35.7894770112</x:v>
      </x:c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</x:row>
    <x:row r="15">
      <x:c r="A15" s="57" t="str">
        <x:v>Effective total line</x:v>
      </x:c>
      <x:c r="B15" s="104" t="n">
        <x:f>'Line Hold'!$B$15</x:f>
        <x:v>411.8029738226675</x:v>
      </x:c>
      <x:c r="C15" s="57" t="str">
        <x:v>km/day</x:v>
      </x:c>
      <x:c r="D15" s="57" t="str">
        <x:v>Completed, held and verified proxy</x:v>
      </x:c>
      <x:c r="E15" s="57"/>
      <x:c r="F15" s="57" t="str">
        <x:v>Conventional dozer</x:v>
      </x:c>
      <x:c r="G15" s="65" t="n">
        <x:f>'Line Hold'!$F$6</x:f>
        <x:v>69.07870937088</x:v>
      </x:c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</x:row>
    <x:row r="16">
      <x:c r="A16" s="57" t="str">
        <x:v>Closure margin</x:v>
      </x:c>
      <x:c r="B16" s="104" t="n">
        <x:f>'Line Hold'!$B$17</x:f>
        <x:v>4.774687335146188</x:v>
      </x:c>
      <x:c r="C16" s="57" t="str">
        <x:v>km/h</x:v>
      </x:c>
      <x:c r="D16" s="57" t="str">
        <x:v>Positive is necessary</x:v>
      </x:c>
      <x:c r="E16" s="57"/>
      <x:c r="F16" s="57" t="str">
        <x:v>Robotic tractor</x:v>
      </x:c>
      <x:c r="G16" s="65" t="n">
        <x:f>'Line Hold'!$F$7</x:f>
        <x:v>205.07741844480003</x:v>
      </x:c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</x:row>
    <x:row r="17">
      <x:c r="A17" s="57" t="str">
        <x:v>Modeled time to close</x:v>
      </x:c>
      <x:c r="B17" s="104" t="n">
        <x:f>'Line Hold'!$B$18</x:f>
        <x:v>10.641536716141923</x:v>
      </x:c>
      <x:c r="C17" s="57" t="str">
        <x:v>hours</x:v>
      </x:c>
      <x:c r="D17" s="57" t="str">
        <x:v>Constant-rate screening result</x:v>
      </x:c>
      <x:c r="E17" s="57"/>
      <x:c r="F17" s="57" t="str">
        <x:v>Aerial line</x:v>
      </x:c>
      <x:c r="G17" s="65" t="n">
        <x:f>'Line Hold'!$F$8</x:f>
        <x:v>101.85736899578744</x:v>
      </x:c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</x:row>
    <x:row r="18">
      <x:c r="A18" s="57" t="str">
        <x:v>Fluid scaling factor</x:v>
      </x:c>
      <x:c r="B18" s="76" t="n">
        <x:f>'Water Agent'!$E$20</x:f>
        <x:v>0.8409863087428937</x:v>
      </x:c>
      <x:c r="C18" s="57" t="str">
        <x:v>% unconstrained</x:v>
      </x:c>
      <x:c r="D18" s="57" t="str">
        <x:v>Water/retardant bottleneck</x:v>
      </x:c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</x:row>
    <x:row r="19">
      <x:c r="A19" s="57" t="str">
        <x:v>Maximum base utilization</x:v>
      </x:c>
      <x:c r="B19" s="76" t="n">
        <x:f>'Air Base Throughput'!$A$13</x:f>
        <x:v>0.28823529411764703</x:v>
      </x:c>
      <x:c r="C19" s="57" t="str">
        <x:v>% capacity</x:v>
      </x:c>
      <x:c r="D19" s="57" t="str">
        <x:v>Highest aircraft-family base load</x:v>
      </x:c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</x:row>
    <x:row r="20">
      <x:c r="A20" s="57" t="str">
        <x:v>Airspace utilization</x:v>
      </x:c>
      <x:c r="B20" s="76" t="n">
        <x:f>'Airspace Capacity'!$C$19</x:f>
        <x:v>0.9481770833333334</x:v>
      </x:c>
      <x:c r="C20" s="57" t="str">
        <x:v>% capacity</x:v>
      </x:c>
      <x:c r="D20" s="57" t="str">
        <x:v>Shared operations demand</x:v>
      </x:c>
      <x:c r="E20" s="57"/>
      <x:c r="F20" s="62" t="str">
        <x:v>Principal model cautions</x:v>
      </x:c>
      <x:c r="G20" s="63"/>
      <x:c r="H20" s="63"/>
      <x:c r="I20" s="64"/>
      <x:c r="J20" s="57"/>
      <x:c r="K20" s="57"/>
      <x:c r="L20" s="57"/>
      <x:c r="M20" s="57"/>
      <x:c r="N20" s="57"/>
      <x:c r="O20" s="57"/>
      <x:c r="P20" s="57"/>
      <x:c r="Q20" s="57"/>
    </x:row>
    <x:row r="21">
      <x:c r="A21" s="57" t="str">
        <x:v>Effective cluster-defense equivalents</x:v>
      </x:c>
      <x:c r="B21" s="65" t="n">
        <x:f>'Structure Defense'!$B$21</x:f>
        <x:v>4.681800000000001</x:v>
      </x:c>
      <x:c r="C21" s="57" t="str">
        <x:v>clusters/day</x:v>
      </x:c>
      <x:c r="D21" s="57" t="str">
        <x:v>Implementation proxy, not survival</x:v>
      </x:c>
      <x:c r="E21" s="57"/>
      <x:c r="F21" s="125" t="str">
        <x:v>Intercept</x:v>
      </x:c>
      <x:c r="G21" s="125" t="str">
        <x:v>P50/P90 inputs and escape thresholds are assumptions; probability is a logistic approximation.</x:v>
      </x:c>
      <x:c r="H21" s="125"/>
      <x:c r="I21" s="125"/>
      <x:c r="J21" s="57"/>
      <x:c r="K21" s="57"/>
      <x:c r="L21" s="57"/>
      <x:c r="M21" s="57"/>
      <x:c r="N21" s="57"/>
      <x:c r="O21" s="57"/>
      <x:c r="P21" s="57"/>
      <x:c r="Q21" s="57"/>
    </x:row>
    <x:row r="22">
      <x:c r="A22" s="57" t="str">
        <x:v>Public clean-air protection</x:v>
      </x:c>
      <x:c r="B22" s="65" t="n">
        <x:f>'Smoke Thermal'!$B$18</x:f>
        <x:v>146880</x:v>
      </x:c>
      <x:c r="C22" s="57" t="str">
        <x:v>person-hours/day</x:v>
      </x:c>
      <x:c r="D22" s="57" t="str">
        <x:v>Available and occupied capacity</x:v>
      </x:c>
      <x:c r="E22" s="57"/>
      <x:c r="F22" s="125" t="str">
        <x:v>Fire behavior</x:v>
      </x:c>
      <x:c r="G22" s="125" t="str">
        <x:v>Constant-rate ellipse omits changing weather, fuels, terrain, spotting and plume dynamics.</x:v>
      </x:c>
      <x:c r="H22" s="125"/>
      <x:c r="I22" s="125"/>
      <x:c r="J22" s="57"/>
      <x:c r="K22" s="57"/>
      <x:c r="L22" s="57"/>
      <x:c r="M22" s="57"/>
      <x:c r="N22" s="57"/>
      <x:c r="O22" s="57"/>
      <x:c r="P22" s="57"/>
      <x:c r="Q22" s="57"/>
    </x:row>
    <x:row r="23">
      <x:c r="A23" s="57" t="str">
        <x:v>Dry deployment mass</x:v>
      </x:c>
      <x:c r="B23" s="65" t="n">
        <x:f>'Deployment Manifest'!$C$23</x:f>
        <x:v>42338.979765599994</x:v>
      </x:c>
      <x:c r="C23" s="57" t="str">
        <x:v>t</x:v>
      </x:c>
      <x:c r="D23" s="57" t="str">
        <x:v>Preliminary with contingency</x:v>
      </x:c>
      <x:c r="E23" s="57"/>
      <x:c r="F23" s="125" t="str">
        <x:v>Control</x:v>
      </x:c>
      <x:c r="G23" s="125" t="str">
        <x:v>Positive line-rate margin is necessary, not proof of spatially connected containment.</x:v>
      </x:c>
      <x:c r="H23" s="125"/>
      <x:c r="I23" s="125"/>
      <x:c r="J23" s="57"/>
      <x:c r="K23" s="57"/>
      <x:c r="L23" s="57"/>
      <x:c r="M23" s="57"/>
      <x:c r="N23" s="57"/>
      <x:c r="O23" s="57"/>
      <x:c r="P23" s="57"/>
      <x:c r="Q23" s="57"/>
    </x:row>
    <x:row r="24">
      <x:c r="A24" s="57" t="str">
        <x:v>External lift mass</x:v>
      </x:c>
      <x:c r="B24" s="65" t="n">
        <x:f>'Deployment Manifest'!$D$23</x:f>
        <x:v>39960.7797656</x:v>
      </x:c>
      <x:c r="C24" s="57" t="str">
        <x:v>t</x:v>
      </x:c>
      <x:c r="D24" s="57" t="str">
        <x:v>Aircraft self-deployment excluded</x:v>
      </x:c>
      <x:c r="E24" s="57"/>
      <x:c r="F24" s="125" t="str">
        <x:v>Force</x:v>
      </x:c>
      <x:c r="G24" s="125" t="str">
        <x:v>Mass, personnel, package counts and unit costs are configuration hypotheses.</x:v>
      </x:c>
      <x:c r="H24" s="125"/>
      <x:c r="I24" s="125"/>
      <x:c r="J24" s="57"/>
      <x:c r="K24" s="57"/>
      <x:c r="L24" s="57"/>
      <x:c r="M24" s="57"/>
      <x:c r="N24" s="57"/>
      <x:c r="O24" s="57"/>
      <x:c r="P24" s="57"/>
      <x:c r="Q24" s="57"/>
    </x:row>
    <x:row r="25">
      <x:c r="A25" s="57" t="str">
        <x:v>Deployed establishment</x:v>
      </x:c>
      <x:c r="B25" s="65" t="n">
        <x:f>'Workforce Rotation'!$C$23</x:f>
        <x:v>12329.999999999998</x:v>
      </x:c>
      <x:c r="C25" s="57" t="str">
        <x:v>people</x:v>
      </x:c>
      <x:c r="D25" s="57" t="str">
        <x:v>Shift-complete plus common support</x:v>
      </x:c>
      <x:c r="E25" s="57"/>
      <x:c r="F25" s="125" t="str">
        <x:v>Evidence</x:v>
      </x:c>
      <x:c r="G25" s="125" t="str">
        <x:v>Eighteen R3 gates remain open. No asset or formation is authorized for rendering.</x:v>
      </x:c>
      <x:c r="H25" s="125"/>
      <x:c r="I25" s="125"/>
      <x:c r="J25" s="57"/>
      <x:c r="K25" s="57"/>
      <x:c r="L25" s="57"/>
      <x:c r="M25" s="57"/>
      <x:c r="N25" s="57"/>
      <x:c r="O25" s="57"/>
      <x:c r="P25" s="57"/>
      <x:c r="Q25" s="57"/>
    </x:row>
    <x:row r="26">
      <x:c r="A26" s="57" t="str">
        <x:v>Service establishment</x:v>
      </x:c>
      <x:c r="B26" s="65" t="n">
        <x:f>'Workforce Rotation'!$D$23</x:f>
        <x:v>46237.49999999999</x:v>
      </x:c>
      <x:c r="C26" s="57" t="str">
        <x:v>billets</x:v>
      </x:c>
      <x:c r="D26" s="57" t="str">
        <x:v>Rotation and institutional depth</x:v>
      </x:c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</x:row>
    <x:row r="27">
      <x:c r="A27" s="57" t="str">
        <x:v>Ready IIN cells</x:v>
      </x:c>
      <x:c r="B27" s="65" t="n">
        <x:f>'Readiness Concurrency'!$D$5</x:f>
        <x:v>22</x:v>
      </x:c>
      <x:c r="C27" s="57" t="str">
        <x:v>packages</x:v>
      </x:c>
      <x:c r="D27" s="57" t="str">
        <x:v>Against concurrent requirement</x:v>
      </x:c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</x:row>
    <x:row r="28">
      <x:c r="A28" s="57" t="str">
        <x:v>Ready IFCG groups</x:v>
      </x:c>
      <x:c r="B28" s="65" t="n">
        <x:f>'Readiness Concurrency'!$D$6</x:f>
        <x:v>6</x:v>
      </x:c>
      <x:c r="C28" s="57" t="str">
        <x:v>packages</x:v>
      </x:c>
      <x:c r="D28" s="57" t="str">
        <x:v>Against concurrent requirement</x:v>
      </x:c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</x:row>
    <x:row r="29">
      <x:c r="A29" s="57" t="str">
        <x:v>Air vehicle acquisition screen</x:v>
      </x:c>
      <x:c r="B29" s="108" t="n">
        <x:f>'Readiness Concurrency'!$B$19</x:f>
        <x:v>106.55</x:v>
      </x:c>
      <x:c r="C29" s="57" t="str">
        <x:v>$B real 2026</x:v>
      </x:c>
      <x:c r="D29" s="57" t="str">
        <x:v>Airframes only</x:v>
      </x:c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</x:row>
    <x:row r="30">
      <x:c r="A30" s="57" t="str">
        <x:v>Open R3 gates</x:v>
      </x:c>
      <x:c r="B30" s="77" t="n">
        <x:f>'R3 Evidence Gate'!$A$26</x:f>
        <x:v>18</x:v>
      </x:c>
      <x:c r="C30" s="57" t="str">
        <x:v>gates</x:v>
      </x:c>
      <x:c r="D30" s="57" t="str">
        <x:v>All must be independently verified</x:v>
      </x:c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</x:row>
    <x:row r="33">
      <x:c r="A33" s="62" t="str">
        <x:v>Source register</x:v>
      </x:c>
      <x:c r="B33" s="63"/>
      <x:c r="C33" s="63"/>
      <x:c r="D33" s="63"/>
      <x:c r="E33" s="63"/>
      <x:c r="F33" s="63"/>
      <x:c r="G33" s="63"/>
      <x:c r="H33" s="64"/>
      <x:c r="I33" s="57"/>
      <x:c r="J33" s="57"/>
      <x:c r="K33" s="57"/>
      <x:c r="L33" s="57"/>
      <x:c r="M33" s="57"/>
      <x:c r="N33" s="57"/>
      <x:c r="O33" s="57"/>
      <x:c r="P33" s="57"/>
      <x:c r="Q33" s="57"/>
    </x:row>
    <x:row r="34">
      <x:c r="A34" s="10" t="str">
        <x:v>Key</x:v>
      </x:c>
      <x:c r="B34" s="11" t="str">
        <x:v>Source</x:v>
      </x:c>
      <x:c r="C34" s="11" t="str">
        <x:v>Publisher</x:v>
      </x:c>
      <x:c r="D34" s="11" t="str">
        <x:v>Date</x:v>
      </x:c>
      <x:c r="E34" s="11" t="str">
        <x:v>URL</x:v>
      </x:c>
      <x:c r="F34" s="11" t="str">
        <x:v>Workbook use</x:v>
      </x:c>
      <x:c r="G34" s="11" t="str">
        <x:v>Source class</x:v>
      </x:c>
      <x:c r="H34" s="12" t="str">
        <x:v>Access</x:v>
      </x:c>
      <x:c r="I34" s="57"/>
      <x:c r="J34" s="57"/>
      <x:c r="K34" s="57"/>
      <x:c r="L34" s="57"/>
      <x:c r="M34" s="57"/>
      <x:c r="N34" s="57"/>
      <x:c r="O34" s="57"/>
      <x:c r="P34" s="57"/>
      <x:c r="Q34" s="57"/>
    </x:row>
    <x:row r="35">
      <x:c r="A35" s="57" t="str">
        <x:v>USFS-AFUE</x:v>
      </x:c>
      <x:c r="B35" s="57" t="str">
        <x:v>Aerial Firefighting Use and Effectiveness Study: Final Report</x:v>
      </x:c>
      <x:c r="C35" s="57" t="str">
        <x:v>U.S. Forest Service</x:v>
      </x:c>
      <x:c r="D35" s="57" t="str">
        <x:v>2020</x:v>
      </x:c>
      <x:c r="E35" s="57" t="str">
        <x:v>https://www.fs.usda.gov/sites/default/files/2020-08/08192020_afue_final_report_0.pdf</x:v>
      </x:c>
      <x:c r="F35" s="57" t="str">
        <x:v>Separate placement, interaction and ground completion</x:v>
      </x:c>
      <x:c r="G35" s="57" t="str">
        <x:v>Official study</x:v>
      </x:c>
      <x:c r="H35" s="57" t="str">
        <x:v>2026-09-04</x:v>
      </x:c>
      <x:c r="I35" s="57"/>
      <x:c r="J35" s="57"/>
      <x:c r="K35" s="57"/>
      <x:c r="L35" s="57"/>
      <x:c r="M35" s="57"/>
      <x:c r="N35" s="57"/>
      <x:c r="O35" s="57"/>
      <x:c r="P35" s="57"/>
      <x:c r="Q35" s="57"/>
    </x:row>
    <x:row r="36">
      <x:c r="A36" s="57" t="str">
        <x:v>GAO-FireAviation</x:v>
      </x:c>
      <x:c r="B36" s="57" t="str">
        <x:v>Wildland Fire Management: Federal Fire Aviation Program</x:v>
      </x:c>
      <x:c r="C36" s="57" t="str">
        <x:v>U.S. GAO</x:v>
      </x:c>
      <x:c r="D36" s="57" t="str">
        <x:v>2013</x:v>
      </x:c>
      <x:c r="E36" s="57" t="str">
        <x:v>https://www.gao.gov/products/gao-13-684</x:v>
      </x:c>
      <x:c r="F36" s="57" t="str">
        <x:v>Fleet history and evidence limits</x:v>
      </x:c>
      <x:c r="G36" s="57" t="str">
        <x:v>Government audit</x:v>
      </x:c>
      <x:c r="H36" s="57" t="str">
        <x:v>2026-09-04</x:v>
      </x:c>
      <x:c r="I36" s="57"/>
      <x:c r="J36" s="57"/>
      <x:c r="K36" s="57"/>
      <x:c r="L36" s="57"/>
      <x:c r="M36" s="57"/>
      <x:c r="N36" s="57"/>
      <x:c r="O36" s="57"/>
      <x:c r="P36" s="57"/>
      <x:c r="Q36" s="57"/>
    </x:row>
    <x:row r="37">
      <x:c r="A37" s="57" t="str">
        <x:v>USFS-Airworthiness</x:v>
      </x:c>
      <x:c r="B37" s="57" t="str">
        <x:v>Federal Aerial Firefighting: Assessing Safety and Effectiveness</x:v>
      </x:c>
      <x:c r="C37" s="57" t="str">
        <x:v>U.S. Forest Service / BLM</x:v>
      </x:c>
      <x:c r="D37" s="57" t="str">
        <x:v>2002</x:v>
      </x:c>
      <x:c r="E37" s="57" t="str">
        <x:v>https://www.fs.usda.gov/sites/default/files/media_wysiwyg/fed.aerial.ff_.assessing.safety.effectivenss.brp_.2002.pdf</x:v>
      </x:c>
      <x:c r="F37" s="57" t="str">
        <x:v>Fire-specific fatigue and airworthiness requirement</x:v>
      </x:c>
      <x:c r="G37" s="57" t="str">
        <x:v>Official review</x:v>
      </x:c>
      <x:c r="H37" s="57" t="str">
        <x:v>2026-09-04</x:v>
      </x:c>
      <x:c r="I37" s="57"/>
      <x:c r="J37" s="57"/>
      <x:c r="K37" s="57"/>
      <x:c r="L37" s="57"/>
      <x:c r="M37" s="57"/>
      <x:c r="N37" s="57"/>
      <x:c r="O37" s="57"/>
      <x:c r="P37" s="57"/>
      <x:c r="Q37" s="57"/>
    </x:row>
    <x:row r="38">
      <x:c r="A38" s="57" t="str">
        <x:v>NIFC-Aircraft</x:v>
      </x:c>
      <x:c r="B38" s="57" t="str">
        <x:v>Aircraft</x:v>
      </x:c>
      <x:c r="C38" s="57" t="str">
        <x:v>National Interagency Fire Center</x:v>
      </x:c>
      <x:c r="D38" s="57" t="str">
        <x:v>current</x:v>
      </x:c>
      <x:c r="E38" s="57" t="str">
        <x:v>https://www.nifc.gov/resources/aircraft</x:v>
      </x:c>
      <x:c r="F38" s="57" t="str">
        <x:v>Current aircraft missions and scale</x:v>
      </x:c>
      <x:c r="G38" s="57" t="str">
        <x:v>Official reference</x:v>
      </x:c>
      <x:c r="H38" s="57" t="str">
        <x:v>2026-09-04</x:v>
      </x:c>
      <x:c r="I38" s="57"/>
      <x:c r="J38" s="57"/>
      <x:c r="K38" s="57"/>
      <x:c r="L38" s="57"/>
      <x:c r="M38" s="57"/>
      <x:c r="N38" s="57"/>
      <x:c r="O38" s="57"/>
      <x:c r="P38" s="57"/>
      <x:c r="Q38" s="57"/>
    </x:row>
    <x:row r="39">
      <x:c r="A39" s="57" t="str">
        <x:v>NWCG-Production</x:v>
      </x:c>
      <x:c r="B39" s="57" t="str">
        <x:v>Crew, Engine, and Dozer Production Rates</x:v>
      </x:c>
      <x:c r="C39" s="57" t="str">
        <x:v>NWCG</x:v>
      </x:c>
      <x:c r="D39" s="57" t="str">
        <x:v>2021</x:v>
      </x:c>
      <x:c r="E39" s="57" t="str">
        <x:v>https://www.fs.usda.gov/t-d/nwcg/files/NWCG_production_tables_2021.pdf</x:v>
      </x:c>
      <x:c r="F39" s="57" t="str">
        <x:v>Production variability; workbook rates remain assumptions</x:v>
      </x:c>
      <x:c r="G39" s="57" t="str">
        <x:v>Official tables</x:v>
      </x:c>
      <x:c r="H39" s="57" t="str">
        <x:v>2026-09-04</x:v>
      </x:c>
      <x:c r="I39" s="57"/>
      <x:c r="J39" s="57"/>
      <x:c r="K39" s="57"/>
      <x:c r="L39" s="57"/>
      <x:c r="M39" s="57"/>
      <x:c r="N39" s="57"/>
      <x:c r="O39" s="57"/>
      <x:c r="P39" s="57"/>
      <x:c r="Q39" s="57"/>
    </x:row>
    <x:row r="40">
      <x:c r="A40" s="57" t="str">
        <x:v>NWCG-PMS508</x:v>
      </x:c>
      <x:c r="B40" s="57" t="str">
        <x:v>NWCG Standards for Airtanker Base Operations</x:v>
      </x:c>
      <x:c r="C40" s="57" t="str">
        <x:v>NWCG</x:v>
      </x:c>
      <x:c r="D40" s="57" t="str">
        <x:v>2026</x:v>
      </x:c>
      <x:c r="E40" s="57" t="str">
        <x:v>https://www.nwcg.gov/publications/pms508</x:v>
      </x:c>
      <x:c r="F40" s="57" t="str">
        <x:v>Base as part of mission capability</x:v>
      </x:c>
      <x:c r="G40" s="57" t="str">
        <x:v>Official standard</x:v>
      </x:c>
      <x:c r="H40" s="57" t="str">
        <x:v>2026-09-04</x:v>
      </x:c>
      <x:c r="I40" s="57"/>
      <x:c r="J40" s="57"/>
      <x:c r="K40" s="57"/>
      <x:c r="L40" s="57"/>
      <x:c r="M40" s="57"/>
      <x:c r="N40" s="57"/>
      <x:c r="O40" s="57"/>
      <x:c r="P40" s="57"/>
      <x:c r="Q40" s="57"/>
    </x:row>
    <x:row r="41">
      <x:c r="A41" s="57" t="str">
        <x:v>NWCG-PMS514</x:v>
      </x:c>
      <x:c r="B41" s="57" t="str">
        <x:v>NWCG Standards for Airtanker Operations</x:v>
      </x:c>
      <x:c r="C41" s="57" t="str">
        <x:v>NWCG</x:v>
      </x:c>
      <x:c r="D41" s="57" t="str">
        <x:v>2026</x:v>
      </x:c>
      <x:c r="E41" s="57" t="str">
        <x:v>https://www.nwcg.gov/publications/pms514</x:v>
      </x:c>
      <x:c r="F41" s="57" t="str">
        <x:v>Aircraft coordination and operations</x:v>
      </x:c>
      <x:c r="G41" s="57" t="str">
        <x:v>Official standard</x:v>
      </x:c>
      <x:c r="H41" s="57" t="str">
        <x:v>2026-09-04</x:v>
      </x:c>
      <x:c r="I41" s="57"/>
      <x:c r="J41" s="57"/>
      <x:c r="K41" s="57"/>
      <x:c r="L41" s="57"/>
      <x:c r="M41" s="57"/>
      <x:c r="N41" s="57"/>
      <x:c r="O41" s="57"/>
      <x:c r="P41" s="57"/>
      <x:c r="Q41" s="57"/>
    </x:row>
    <x:row r="42">
      <x:c r="A42" s="57" t="str">
        <x:v>NASA-ACERO</x:v>
      </x:c>
      <x:c r="B42" s="57" t="str">
        <x:v>Advanced Capabilities for Emergency Response Operations</x:v>
      </x:c>
      <x:c r="C42" s="57" t="str">
        <x:v>NASA</x:v>
      </x:c>
      <x:c r="D42" s="57" t="str">
        <x:v>current</x:v>
      </x:c>
      <x:c r="E42" s="57" t="str">
        <x:v>https://www.nasa.gov/directorates/armd/aosp/aamp-acero/</x:v>
      </x:c>
      <x:c r="F42" s="57" t="str">
        <x:v>Portable airspace and second-shift research</x:v>
      </x:c>
      <x:c r="G42" s="57" t="str">
        <x:v>Official research</x:v>
      </x:c>
      <x:c r="H42" s="57" t="str">
        <x:v>2026-09-04</x:v>
      </x:c>
      <x:c r="I42" s="57"/>
      <x:c r="J42" s="57"/>
      <x:c r="K42" s="57"/>
      <x:c r="L42" s="57"/>
      <x:c r="M42" s="57"/>
      <x:c r="N42" s="57"/>
      <x:c r="O42" s="57"/>
      <x:c r="P42" s="57"/>
      <x:c r="Q42" s="57"/>
    </x:row>
    <x:row r="43">
      <x:c r="A43" s="57" t="str">
        <x:v>NASA-SecondShift</x:v>
      </x:c>
      <x:c r="B43" s="57" t="str">
        <x:v>Advancing Aerial Mobility for Improved Wildland Firefighting Operations</x:v>
      </x:c>
      <x:c r="C43" s="57" t="str">
        <x:v>NASA</x:v>
      </x:c>
      <x:c r="D43" s="57" t="str">
        <x:v>2024</x:v>
      </x:c>
      <x:c r="E43" s="57" t="str">
        <x:v>https://ntrs.nasa.gov/citations/20240011383</x:v>
      </x:c>
      <x:c r="F43" s="57" t="str">
        <x:v>Optionally piloted and uncrewed research</x:v>
      </x:c>
      <x:c r="G43" s="57" t="str">
        <x:v>Official research</x:v>
      </x:c>
      <x:c r="H43" s="57" t="str">
        <x:v>2026-09-04</x:v>
      </x:c>
      <x:c r="I43" s="57"/>
      <x:c r="J43" s="57"/>
      <x:c r="K43" s="57"/>
      <x:c r="L43" s="57"/>
      <x:c r="M43" s="57"/>
      <x:c r="N43" s="57"/>
      <x:c r="O43" s="57"/>
      <x:c r="P43" s="57"/>
      <x:c r="Q43" s="57"/>
    </x:row>
    <x:row r="44">
      <x:c r="A44" s="57" t="str">
        <x:v>NIST-Robots</x:v>
      </x:c>
      <x:c r="B44" s="57" t="str">
        <x:v>Performance of Emergency Response Robots</x:v>
      </x:c>
      <x:c r="C44" s="57" t="str">
        <x:v>NIST</x:v>
      </x:c>
      <x:c r="D44" s="57" t="str">
        <x:v>current</x:v>
      </x:c>
      <x:c r="E44" s="57" t="str">
        <x:v>https://www.nist.gov/programs-projects/performance-emergency-response-robots</x:v>
      </x:c>
      <x:c r="F44" s="57" t="str">
        <x:v>Mission-based robotics test philosophy</x:v>
      </x:c>
      <x:c r="G44" s="57" t="str">
        <x:v>Official research</x:v>
      </x:c>
      <x:c r="H44" s="57" t="str">
        <x:v>2026-09-04</x:v>
      </x:c>
      <x:c r="I44" s="57"/>
      <x:c r="J44" s="57"/>
      <x:c r="K44" s="57"/>
      <x:c r="L44" s="57"/>
      <x:c r="M44" s="57"/>
      <x:c r="N44" s="57"/>
      <x:c r="O44" s="57"/>
      <x:c r="P44" s="57"/>
      <x:c r="Q44" s="57"/>
    </x:row>
    <x:row r="45">
      <x:c r="A45" s="57" t="str">
        <x:v>NIST-WUI</x:v>
      </x:c>
      <x:c r="B45" s="57" t="str">
        <x:v>How Fire Spreads in the WUI</x:v>
      </x:c>
      <x:c r="C45" s="57" t="str">
        <x:v>NIST</x:v>
      </x:c>
      <x:c r="D45" s="57" t="str">
        <x:v>2023</x:v>
      </x:c>
      <x:c r="E45" s="57" t="str">
        <x:v>https://www.nist.gov/el/fire/resources/hazard-mitigation-methodology-hmm/how-fire-spreads-wui</x:v>
      </x:c>
      <x:c r="F45" s="57" t="str">
        <x:v>Ember, radiation, flame and structure pathways</x:v>
      </x:c>
      <x:c r="G45" s="57" t="str">
        <x:v>Official research</x:v>
      </x:c>
      <x:c r="H45" s="57" t="str">
        <x:v>2026-09-04</x:v>
      </x:c>
      <x:c r="I45" s="57"/>
      <x:c r="J45" s="57"/>
      <x:c r="K45" s="57"/>
      <x:c r="L45" s="57"/>
      <x:c r="M45" s="57"/>
      <x:c r="N45" s="57"/>
      <x:c r="O45" s="57"/>
      <x:c r="P45" s="57"/>
      <x:c r="Q45" s="57"/>
    </x:row>
    <x:row r="46">
      <x:c r="A46" s="57" t="str">
        <x:v>GAO-Detection</x:v>
      </x:c>
      <x:c r="B46" s="57" t="str">
        <x:v>Wildfire Detection: Technologies and Challenges</x:v>
      </x:c>
      <x:c r="C46" s="57" t="str">
        <x:v>U.S. GAO</x:v>
      </x:c>
      <x:c r="D46" s="57" t="str">
        <x:v>2025</x:v>
      </x:c>
      <x:c r="E46" s="57" t="str">
        <x:v>https://www.gao.gov/products/gao-25-108161</x:v>
      </x:c>
      <x:c r="F46" s="57" t="str">
        <x:v>Layered sensing limits</x:v>
      </x:c>
      <x:c r="G46" s="57" t="str">
        <x:v>Government audit</x:v>
      </x:c>
      <x:c r="H46" s="57" t="str">
        <x:v>2026-09-04</x:v>
      </x:c>
      <x:c r="I46" s="57"/>
      <x:c r="J46" s="57"/>
      <x:c r="K46" s="57"/>
      <x:c r="L46" s="57"/>
      <x:c r="M46" s="57"/>
      <x:c r="N46" s="57"/>
      <x:c r="O46" s="57"/>
      <x:c r="P46" s="57"/>
      <x:c r="Q46" s="57"/>
    </x:row>
    <x:row r="47">
      <x:c r="A47" s="57" t="str">
        <x:v>GAO-Technology</x:v>
      </x:c>
      <x:c r="B47" s="57" t="str">
        <x:v>Wildfire Management: Technologies for Forecasting, Detection, Mitigation, and Response</x:v>
      </x:c>
      <x:c r="C47" s="57" t="str">
        <x:v>U.S. GAO</x:v>
      </x:c>
      <x:c r="D47" s="57" t="str">
        <x:v>2025</x:v>
      </x:c>
      <x:c r="E47" s="57" t="str">
        <x:v>https://www.gao.gov/products/gao-25-108589</x:v>
      </x:c>
      <x:c r="F47" s="57" t="str">
        <x:v>AI opportunities and uncertainty</x:v>
      </x:c>
      <x:c r="G47" s="57" t="str">
        <x:v>Government testimony</x:v>
      </x:c>
      <x:c r="H47" s="57" t="str">
        <x:v>2026-09-04</x:v>
      </x:c>
      <x:c r="I47" s="57"/>
      <x:c r="J47" s="57"/>
      <x:c r="K47" s="57"/>
      <x:c r="L47" s="57"/>
      <x:c r="M47" s="57"/>
      <x:c r="N47" s="57"/>
      <x:c r="O47" s="57"/>
      <x:c r="P47" s="57"/>
      <x:c r="Q47" s="57"/>
    </x:row>
    <x:row r="48">
      <x:c r="A48" s="57" t="str">
        <x:v>USFS-ChemicalQA</x:v>
      </x:c>
      <x:c r="B48" s="57" t="str">
        <x:v>Lot Acceptance and Quality Assurance</x:v>
      </x:c>
      <x:c r="C48" s="57" t="str">
        <x:v>U.S. Forest Service</x:v>
      </x:c>
      <x:c r="D48" s="57" t="str">
        <x:v>current</x:v>
      </x:c>
      <x:c r="E48" s="57" t="str">
        <x:v>https://www.fs.usda.gov/rm/fire/wfcs/laqa_2.php</x:v>
      </x:c>
      <x:c r="F48" s="57" t="str">
        <x:v>Agent quality and aircraft loading</x:v>
      </x:c>
      <x:c r="G48" s="57" t="str">
        <x:v>Official program</x:v>
      </x:c>
      <x:c r="H48" s="57" t="str">
        <x:v>2026-09-04</x:v>
      </x:c>
      <x:c r="I48" s="57"/>
      <x:c r="J48" s="57"/>
      <x:c r="K48" s="57"/>
      <x:c r="L48" s="57"/>
      <x:c r="M48" s="57"/>
      <x:c r="N48" s="57"/>
      <x:c r="O48" s="57"/>
      <x:c r="P48" s="57"/>
      <x:c r="Q48" s="57"/>
    </x:row>
    <x:row r="49">
      <x:c r="A49" s="57" t="str">
        <x:v>USFS-RetardantSEIS</x:v>
      </x:c>
      <x:c r="B49" s="57" t="str">
        <x:v>Nationwide Aerial Application of Fire Retardant: Final SEIS</x:v>
      </x:c>
      <x:c r="C49" s="57" t="str">
        <x:v>U.S. Forest Service</x:v>
      </x:c>
      <x:c r="D49" s="57" t="str">
        <x:v>2023</x:v>
      </x:c>
      <x:c r="E49" s="57" t="str">
        <x:v>https://www.fs.usda.gov/sites/default/files/2023-11/AerialFireRetardant-FinalSEIS.pdf</x:v>
      </x:c>
      <x:c r="F49" s="57" t="str">
        <x:v>Environmental and waterway constraints</x:v>
      </x:c>
      <x:c r="G49" s="57" t="str">
        <x:v>Official assessment</x:v>
      </x:c>
      <x:c r="H49" s="57" t="str">
        <x:v>2026-09-04</x:v>
      </x:c>
      <x:c r="I49" s="57"/>
      <x:c r="J49" s="57"/>
      <x:c r="K49" s="57"/>
      <x:c r="L49" s="57"/>
      <x:c r="M49" s="57"/>
      <x:c r="N49" s="57"/>
      <x:c r="O49" s="57"/>
      <x:c r="P49" s="57"/>
      <x:c r="Q49" s="57"/>
    </x:row>
    <x:row r="50">
      <x:c r="A50" s="57" t="str">
        <x:v>NIOSH-Health</x:v>
      </x:c>
      <x:c r="B50" s="57" t="str">
        <x:v>Wildland Firefighter Health: Some Burning Questions</x:v>
      </x:c>
      <x:c r="C50" s="57" t="str">
        <x:v>NIOSH</x:v>
      </x:c>
      <x:c r="D50" s="57" t="str">
        <x:v>2020</x:v>
      </x:c>
      <x:c r="E50" s="57" t="str">
        <x:v>https://www.cdc.gov/niosh/bulletin/2020/wildland-firefighter-health.html</x:v>
      </x:c>
      <x:c r="F50" s="57" t="str">
        <x:v>Smoke, heat and workforce exposure</x:v>
      </x:c>
      <x:c r="G50" s="57" t="str">
        <x:v>Official health research</x:v>
      </x:c>
      <x:c r="H50" s="57" t="str">
        <x:v>2026-09-04</x:v>
      </x:c>
      <x:c r="I50" s="57"/>
      <x:c r="J50" s="57"/>
      <x:c r="K50" s="57"/>
      <x:c r="L50" s="57"/>
      <x:c r="M50" s="57"/>
      <x:c r="N50" s="57"/>
      <x:c r="O50" s="57"/>
      <x:c r="P50" s="57"/>
      <x:c r="Q50" s="57"/>
    </x:row>
    <x:row r="51">
      <x:c r="A51" s="57" t="str">
        <x:v>Research-Pass11</x:v>
      </x:c>
      <x:c r="B51" s="57" t="str">
        <x:v>Fire response force engineering</x:v>
      </x:c>
      <x:c r="C51" s="57" t="str">
        <x:v>Disaster Force research program</x:v>
      </x:c>
      <x:c r="D51" s="57" t="str">
        <x:v>2026</x:v>
      </x:c>
      <x:c r="E51" s="57" t="str">
        <x:v>https://github.com/Onemoremichael/disaster-force/blob/main/research/22-fire-response-force-engineering.md</x:v>
      </x:c>
      <x:c r="F51" s="57" t="str">
        <x:v>Model architecture, equations and R3 gates</x:v>
      </x:c>
      <x:c r="G51" s="57" t="str">
        <x:v>Design synthesis</x:v>
      </x:c>
      <x:c r="H51" s="57" t="str">
        <x:v>2026-09-04</x:v>
      </x:c>
      <x:c r="I51" s="57"/>
      <x:c r="J51" s="57"/>
      <x:c r="K51" s="57"/>
      <x:c r="L51" s="57"/>
      <x:c r="M51" s="57"/>
      <x:c r="N51" s="57"/>
      <x:c r="O51" s="57"/>
      <x:c r="P51" s="57"/>
      <x:c r="Q51" s="57"/>
    </x:row>
  </x:sheetData>
  <x:conditionalFormatting sqref="B5:B5">
    <x:cfRule type="containsText" dxfId="7" priority="1" operator="containsText" text="R2+"/>
  </x:conditionalFormatting>
  <x:conditionalFormatting sqref="B16:B16">
    <x:cfRule type="cellIs" dxfId="8" priority="2" operator="lessThanOrEqual">
      <x:formula>0</x:formula>
    </x:cfRule>
  </x:conditionalFormatting>
  <x:pageMargins left="0.7" right="0.7" top="0.75" bottom="0.75" header="0.3" footer="0.3"/>
  <x:drawing xmlns:r="http://schemas.openxmlformats.org/officeDocument/2006/relationships" r:id="R62d6fc1a86604729"/>
</x:worksheet>
</file>

<file path=xl/worksheets/sheet2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40" hidden="0" customWidth="1"/>
    <x:col min="5" max="5" width="24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2" hidden="0" customWidth="1"/>
    <x:col min="12" max="12" width="14" hidden="0" customWidth="1"/>
    <x:col min="13" max="13" width="14" hidden="0" customWidth="1"/>
    <x:col min="14" max="14" width="12" hidden="0" customWidth="1"/>
    <x:col min="15" max="15" width="14" hidden="0" customWidth="1"/>
    <x:col min="16" max="16" width="14" hidden="0" customWidth="1"/>
    <x:col min="17" max="17" width="22" hidden="0" customWidth="1"/>
  </x:cols>
  <x:sheetData>
    <x:row r="1">
      <x:c r="A1" s="121" t="str">
        <x:v>Fire-force configuration controls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</x:row>
    <x:row r="2">
      <x:c r="A2" s="119" t="str">
        <x:v>Yellow cells are editable design-study assumptions. Baseline: IFCG Campaign against a wind-driven WUI fire. All values are exploratory, not specifications.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  <x:c r="O2" s="119"/>
      <x:c r="P2" s="119"/>
      <x:c r="Q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</x:row>
    <x:row r="4">
      <x:c r="A4" s="10" t="str">
        <x:v>Parameter</x:v>
      </x:c>
      <x:c r="B4" s="11" t="str">
        <x:v>Unit</x:v>
      </x:c>
      <x:c r="C4" s="11" t="str">
        <x:v>Value</x:v>
      </x:c>
      <x:c r="D4" s="11" t="str">
        <x:v>Basis</x:v>
      </x:c>
      <x:c r="E4" s="12" t="str">
        <x:v>Evidence class</x:v>
      </x:c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</x:row>
    <x:row r="5">
      <x:c r="A5" s="57" t="str">
        <x:v>Formation state</x:v>
      </x:c>
      <x:c r="B5" s="57" t="str">
        <x:v>case</x:v>
      </x:c>
      <x:c r="C5" s="58" t="str">
        <x:v>IFCG Campaign</x:v>
      </x:c>
      <x:c r="D5" s="57" t="str">
        <x:v>Select the force package being tested</x:v>
      </x:c>
      <x:c r="E5" s="57" t="str">
        <x:v>Scenario control</x:v>
      </x:c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</x:row>
    <x:row r="6">
      <x:c r="A6" s="57" t="str">
        <x:v>Fire case</x:v>
      </x:c>
      <x:c r="B6" s="57" t="str">
        <x:v>case</x:v>
      </x:c>
      <x:c r="C6" s="58" t="str">
        <x:v>WUI wind-driven</x:v>
      </x:c>
      <x:c r="D6" s="57" t="str">
        <x:v>Select the planning fire</x:v>
      </x:c>
      <x:c r="E6" s="57" t="str">
        <x:v>Scenario control</x:v>
      </x:c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</x:row>
    <x:row r="7">
      <x:c r="A7" s="57" t="str">
        <x:v>Campaign duration</x:v>
      </x:c>
      <x:c r="B7" s="57" t="str">
        <x:v>days</x:v>
      </x:c>
      <x:c r="C7" s="58" t="n">
        <x:v>14</x:v>
      </x:c>
      <x:c r="D7" s="57" t="str">
        <x:v>Sustained operation before major relief</x:v>
      </x:c>
      <x:c r="E7" s="57" t="str">
        <x:v>Design target</x:v>
      </x:c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</x:row>
    <x:row r="8">
      <x:c r="A8" s="57" t="str">
        <x:v>Line contingency factor</x:v>
      </x:c>
      <x:c r="B8" s="57" t="str">
        <x:v>ratio</x:v>
      </x:c>
      <x:c r="C8" s="59" t="n">
        <x:v>1.25</x:v>
      </x:c>
      <x:c r="D8" s="57" t="str">
        <x:v>Geometry, access and discontinuity above perimeter</x:v>
      </x:c>
      <x:c r="E8" s="57" t="str">
        <x:v>Design assumption</x:v>
      </x:c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</x:row>
    <x:row r="9">
      <x:c r="A9" s="57" t="str">
        <x:v>Manifest contingency</x:v>
      </x:c>
      <x:c r="B9" s="57" t="str">
        <x:v>% subtotal</x:v>
      </x:c>
      <x:c r="C9" s="60" t="n">
        <x:v>0.15</x:v>
      </x:c>
      <x:c r="D9" s="57" t="str">
        <x:v>Preliminary configuration incompleteness</x:v>
      </x:c>
      <x:c r="E9" s="57" t="str">
        <x:v>Design assumption</x:v>
      </x:c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</x:row>
    <x:row r="10">
      <x:c r="A10" s="57" t="str">
        <x:v>Institutional rotation multiplier</x:v>
      </x:c>
      <x:c r="B10" s="57" t="str">
        <x:v>billets/deployed</x:v>
      </x:c>
      <x:c r="C10" s="59" t="n">
        <x:v>3.75</x:v>
      </x:c>
      <x:c r="D10" s="57" t="str">
        <x:v>Three operating echelons plus school/depot overhead</x:v>
      </x:c>
      <x:c r="E10" s="57" t="str">
        <x:v>Force assumption</x:v>
      </x:c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</x:row>
    <x:row r="11">
      <x:c r="A11" s="57" t="str">
        <x:v>Unit procurement reserve</x:v>
      </x:c>
      <x:c r="B11" s="57" t="str">
        <x:v>% baseline</x:v>
      </x:c>
      <x:c r="C11" s="60" t="n">
        <x:v>0.25</x:v>
      </x:c>
      <x:c r="D11" s="57" t="str">
        <x:v>Training, attrition and depot reserve</x:v>
      </x:c>
      <x:c r="E11" s="57" t="str">
        <x:v>Force assumption</x:v>
      </x:c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</x:row>
    <x:row r="12">
      <x:c r="A12" s="57" t="str">
        <x:v>Program horizon</x:v>
      </x:c>
      <x:c r="B12" s="57" t="str">
        <x:v>years</x:v>
      </x:c>
      <x:c r="C12" s="61" t="n">
        <x:v>25</x:v>
      </x:c>
      <x:c r="D12" s="57" t="str">
        <x:v>Capital and RDT&amp;E thought experiment</x:v>
      </x:c>
      <x:c r="E12" s="57" t="str">
        <x:v>Design target</x:v>
      </x:c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</x:row>
    <x:row r="13">
      <x:c r="A13" s="57" t="str">
        <x:v>Capital portfolio</x:v>
      </x:c>
      <x:c r="B13" s="57" t="str">
        <x:v>$B real 2026</x:v>
      </x:c>
      <x:c r="C13" s="61" t="n">
        <x:v>1000</x:v>
      </x:c>
      <x:c r="D13" s="57" t="str">
        <x:v>Fire enterprise capital and RDT&amp;E only</x:v>
      </x:c>
      <x:c r="E13" s="57" t="str">
        <x:v>Thought experiment</x:v>
      </x:c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</x:row>
    <x:row r="14">
      <x:c r="A14" s="57" t="str">
        <x:v>Real-dollar year</x:v>
      </x:c>
      <x:c r="B14" s="57" t="str">
        <x:v>year</x:v>
      </x:c>
      <x:c r="C14" s="61" t="n">
        <x:v>2026</x:v>
      </x:c>
      <x:c r="D14" s="57" t="str">
        <x:v>No inflation escalation in workbook</x:v>
      </x:c>
      <x:c r="E14" s="57" t="str">
        <x:v>Convention</x:v>
      </x:c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</x:row>
    <x:row r="15">
      <x:c r="A15" s="57" t="str">
        <x:v>Planned IIN cells</x:v>
      </x:c>
      <x:c r="B15" s="57" t="str">
        <x:v>packages</x:v>
      </x:c>
      <x:c r="C15" s="61" t="n">
        <x:v>30</x:v>
      </x:c>
      <x:c r="D15" s="57" t="str">
        <x:v>National distributed intercept posture</x:v>
      </x:c>
      <x:c r="E15" s="57" t="str">
        <x:v>Force assumption</x:v>
      </x:c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</x:row>
    <x:row r="16">
      <x:c r="A16" s="57" t="str">
        <x:v>Planned IFCG groups</x:v>
      </x:c>
      <x:c r="B16" s="57" t="str">
        <x:v>packages</x:v>
      </x:c>
      <x:c r="C16" s="61" t="n">
        <x:v>8</x:v>
      </x:c>
      <x:c r="D16" s="57" t="str">
        <x:v>National deployable campaign force</x:v>
      </x:c>
      <x:c r="E16" s="57" t="str">
        <x:v>Force assumption</x:v>
      </x:c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</x:row>
    <x:row r="17">
      <x:c r="A17" s="57" t="str">
        <x:v>Required concurrent IIN cells</x:v>
      </x:c>
      <x:c r="B17" s="57" t="str">
        <x:v>packages</x:v>
      </x:c>
      <x:c r="C17" s="61" t="n">
        <x:v>12</x:v>
      </x:c>
      <x:c r="D17" s="57" t="str">
        <x:v>Correlated regional ignition demand</x:v>
      </x:c>
      <x:c r="E17" s="57" t="str">
        <x:v>Concurrency assumption</x:v>
      </x:c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</x:row>
    <x:row r="18">
      <x:c r="A18" s="57" t="str">
        <x:v>Required concurrent IFCG groups</x:v>
      </x:c>
      <x:c r="B18" s="57" t="str">
        <x:v>packages</x:v>
      </x:c>
      <x:c r="C18" s="61" t="n">
        <x:v>3</x:v>
      </x:c>
      <x:c r="D18" s="57" t="str">
        <x:v>Simultaneous major campaigns</x:v>
      </x:c>
      <x:c r="E18" s="57" t="str">
        <x:v>Concurrency assumption</x:v>
      </x:c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</x:row>
    <x:row r="19">
      <x:c r="A19" s="57" t="str">
        <x:v>Package readiness rate</x:v>
      </x:c>
      <x:c r="B19" s="57" t="str">
        <x:v>% planned</x:v>
      </x:c>
      <x:c r="C19" s="60" t="n">
        <x:v>0.75</x:v>
      </x:c>
      <x:c r="D19" s="57" t="str">
        <x:v>Ready-now share after maintenance and training</x:v>
      </x:c>
      <x:c r="E19" s="57" t="str">
        <x:v>Readiness assumption</x:v>
      </x:c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</x:row>
    <x:row r="22">
      <x:c r="A22" s="62" t="str">
        <x:v>Reference formation packages</x:v>
      </x:c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M22" s="63"/>
      <x:c r="N22" s="63"/>
      <x:c r="O22" s="63"/>
      <x:c r="P22" s="63"/>
      <x:c r="Q22" s="64"/>
    </x:row>
    <x:row r="23">
      <x:c r="A23" s="10" t="str">
        <x:v>Formation state</x:v>
      </x:c>
      <x:c r="B23" s="11" t="str">
        <x:v>Target distance (km)</x:v>
      </x:c>
      <x:c r="C23" s="11" t="str">
        <x:v>Air hours/day</x:v>
      </x:c>
      <x:c r="D23" s="11" t="str">
        <x:v>Ground hours/day</x:v>
      </x:c>
      <x:c r="E23" s="11" t="str">
        <x:v>FA-1</x:v>
      </x:c>
      <x:c r="F23" s="11" t="str">
        <x:v>FA-2</x:v>
      </x:c>
      <x:c r="G23" s="11" t="str">
        <x:v>FA-3</x:v>
      </x:c>
      <x:c r="H23" s="11" t="str">
        <x:v>FA-4</x:v>
      </x:c>
      <x:c r="I23" s="11" t="str">
        <x:v>FA-5</x:v>
      </x:c>
      <x:c r="J23" s="11" t="str">
        <x:v>Air bases</x:v>
      </x:c>
      <x:c r="K23" s="11" t="str">
        <x:v>Airspace sectors</x:v>
      </x:c>
      <x:c r="L23" s="11" t="str">
        <x:v>Crew modules</x:v>
      </x:c>
      <x:c r="M23" s="11" t="str">
        <x:v>Robot tractors</x:v>
      </x:c>
      <x:c r="N23" s="11" t="str">
        <x:v>Water units</x:v>
      </x:c>
      <x:c r="O23" s="11" t="str">
        <x:v>Structure teams</x:v>
      </x:c>
      <x:c r="P23" s="11" t="str">
        <x:v>Clean-air modules</x:v>
      </x:c>
      <x:c r="Q23" s="12" t="str">
        <x:v>Command and sustainment mass (t)</x:v>
      </x:c>
    </x:row>
    <x:row r="24">
      <x:c r="A24" s="57" t="str">
        <x:v>Ignition Intercept Cell</x:v>
      </x:c>
      <x:c r="B24" s="61" t="n">
        <x:v>40</x:v>
      </x:c>
      <x:c r="C24" s="61" t="n">
        <x:v>16</x:v>
      </x:c>
      <x:c r="D24" s="61" t="n">
        <x:v>16</x:v>
      </x:c>
      <x:c r="E24" s="61" t="n">
        <x:v>3</x:v>
      </x:c>
      <x:c r="F24" s="61" t="n">
        <x:v>4</x:v>
      </x:c>
      <x:c r="G24" s="61" t="n">
        <x:v>0</x:v>
      </x:c>
      <x:c r="H24" s="61" t="n">
        <x:v>0</x:v>
      </x:c>
      <x:c r="I24" s="61" t="n">
        <x:v>2</x:v>
      </x:c>
      <x:c r="J24" s="61" t="n">
        <x:v>1</x:v>
      </x:c>
      <x:c r="K24" s="61" t="n">
        <x:v>1</x:v>
      </x:c>
      <x:c r="L24" s="61" t="n">
        <x:v>4</x:v>
      </x:c>
      <x:c r="M24" s="61" t="n">
        <x:v>6</x:v>
      </x:c>
      <x:c r="N24" s="61" t="n">
        <x:v>1</x:v>
      </x:c>
      <x:c r="O24" s="61" t="n">
        <x:v>2</x:v>
      </x:c>
      <x:c r="P24" s="61" t="n">
        <x:v>2</x:v>
      </x:c>
      <x:c r="Q24" s="61" t="n">
        <x:v>400</x:v>
      </x:c>
    </x:row>
    <x:row r="25">
      <x:c r="A25" s="57" t="str">
        <x:v>Reinforced Initial Attack</x:v>
      </x:c>
      <x:c r="B25" s="61" t="n">
        <x:v>70</x:v>
      </x:c>
      <x:c r="C25" s="61" t="n">
        <x:v>20</x:v>
      </x:c>
      <x:c r="D25" s="61" t="n">
        <x:v>20</x:v>
      </x:c>
      <x:c r="E25" s="61" t="n">
        <x:v>6</x:v>
      </x:c>
      <x:c r="F25" s="61" t="n">
        <x:v>12</x:v>
      </x:c>
      <x:c r="G25" s="61" t="n">
        <x:v>6</x:v>
      </x:c>
      <x:c r="H25" s="61" t="n">
        <x:v>4</x:v>
      </x:c>
      <x:c r="I25" s="61" t="n">
        <x:v>8</x:v>
      </x:c>
      <x:c r="J25" s="61" t="n">
        <x:v>3</x:v>
      </x:c>
      <x:c r="K25" s="61" t="n">
        <x:v>2</x:v>
      </x:c>
      <x:c r="L25" s="61" t="n">
        <x:v>16</x:v>
      </x:c>
      <x:c r="M25" s="61" t="n">
        <x:v>24</x:v>
      </x:c>
      <x:c r="N25" s="61" t="n">
        <x:v>4</x:v>
      </x:c>
      <x:c r="O25" s="61" t="n">
        <x:v>8</x:v>
      </x:c>
      <x:c r="P25" s="61" t="n">
        <x:v>8</x:v>
      </x:c>
      <x:c r="Q25" s="61" t="n">
        <x:v>1800</x:v>
      </x:c>
    </x:row>
    <x:row r="26">
      <x:c r="A26" s="57" t="str">
        <x:v>IFCG Campaign</x:v>
      </x:c>
      <x:c r="B26" s="61" t="n">
        <x:v>120</x:v>
      </x:c>
      <x:c r="C26" s="61" t="n">
        <x:v>24</x:v>
      </x:c>
      <x:c r="D26" s="61" t="n">
        <x:v>20</x:v>
      </x:c>
      <x:c r="E26" s="61" t="n">
        <x:v>12</x:v>
      </x:c>
      <x:c r="F26" s="61" t="n">
        <x:v>24</x:v>
      </x:c>
      <x:c r="G26" s="61" t="n">
        <x:v>16</x:v>
      </x:c>
      <x:c r="H26" s="61" t="n">
        <x:v>12</x:v>
      </x:c>
      <x:c r="I26" s="61" t="n">
        <x:v>18</x:v>
      </x:c>
      <x:c r="J26" s="61" t="n">
        <x:v>6</x:v>
      </x:c>
      <x:c r="K26" s="61" t="n">
        <x:v>4</x:v>
      </x:c>
      <x:c r="L26" s="61" t="n">
        <x:v>48</x:v>
      </x:c>
      <x:c r="M26" s="61" t="n">
        <x:v>72</x:v>
      </x:c>
      <x:c r="N26" s="61" t="n">
        <x:v>12</x:v>
      </x:c>
      <x:c r="O26" s="61" t="n">
        <x:v>24</x:v>
      </x:c>
      <x:c r="P26" s="61" t="n">
        <x:v>24</x:v>
      </x:c>
      <x:c r="Q26" s="61" t="n">
        <x:v>6000</x:v>
      </x:c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</x:row>
    <x:row r="29">
      <x:c r="A29" s="62" t="str">
        <x:v>Selected package outputs</x:v>
      </x:c>
      <x:c r="B29" s="63"/>
      <x:c r="C29" s="63"/>
      <x:c r="D29" s="63"/>
      <x:c r="E29" s="64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</x:row>
    <x:row r="30">
      <x:c r="A30" s="10" t="str">
        <x:v>Parameter</x:v>
      </x:c>
      <x:c r="B30" s="11" t="str">
        <x:v>Unit</x:v>
      </x:c>
      <x:c r="C30" s="11" t="str">
        <x:v>Value</x:v>
      </x:c>
      <x:c r="D30" s="11" t="str">
        <x:v>Formula role</x:v>
      </x:c>
      <x:c r="E30" s="12" t="str">
        <x:v>Model limit</x:v>
      </x:c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</x:row>
    <x:row r="31">
      <x:c r="A31" s="57" t="str">
        <x:v>Target distance</x:v>
      </x:c>
      <x:c r="B31" s="57" t="str">
        <x:v>km</x:v>
      </x:c>
      <x:c r="C31" s="65" t="n">
        <x:f>INDEX($B$24:$B$26,MATCH($C$5,$A$24:$A$26,0))</x:f>
        <x:v>120</x:v>
      </x:c>
      <x:c r="D31" s="57" t="str">
        <x:v>Aircraft transit and intercept</x:v>
      </x:c>
      <x:c r="E31" s="57" t="str">
        <x:v>One-way representative distance</x:v>
      </x:c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</x:row>
    <x:row r="32">
      <x:c r="A32" s="57" t="str">
        <x:v>Air operating period</x:v>
      </x:c>
      <x:c r="B32" s="57" t="str">
        <x:v>hours/day</x:v>
      </x:c>
      <x:c r="C32" s="65" t="n">
        <x:f>INDEX($C$24:$C$26,MATCH($C$5,$A$24:$A$26,0))</x:f>
        <x:v>24</x:v>
      </x:c>
      <x:c r="D32" s="57" t="str">
        <x:v>Sortie and base window</x:v>
      </x:c>
      <x:c r="E32" s="57" t="str">
        <x:v>Weather and duty detail omitted</x:v>
      </x:c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</x:row>
    <x:row r="33">
      <x:c r="A33" s="57" t="str">
        <x:v>Ground operating period</x:v>
      </x:c>
      <x:c r="B33" s="57" t="str">
        <x:v>hours/day</x:v>
      </x:c>
      <x:c r="C33" s="65" t="n">
        <x:f>INDEX($D$24:$D$26,MATCH($C$5,$A$24:$A$26,0))</x:f>
        <x:v>20</x:v>
      </x:c>
      <x:c r="D33" s="57" t="str">
        <x:v>Ground production window</x:v>
      </x:c>
      <x:c r="E33" s="57" t="str">
        <x:v>Work-rest varies by function</x:v>
      </x:c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</x:row>
    <x:row r="34">
      <x:c r="A34" s="57" t="str">
        <x:v>FA-1 sentinels</x:v>
      </x:c>
      <x:c r="B34" s="57" t="str">
        <x:v>aircraft</x:v>
      </x:c>
      <x:c r="C34" s="65" t="n">
        <x:f>INDEX($E$24:$E$26,MATCH($C$5,$A$24:$A$26,0))</x:f>
        <x:v>12</x:v>
      </x:c>
      <x:c r="D34" s="57" t="str">
        <x:v>Persistent sensing</x:v>
      </x:c>
      <x:c r="E34" s="57" t="str">
        <x:v>Configuration family not selected</x:v>
      </x:c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</x:row>
    <x:row r="35">
      <x:c r="A35" s="57" t="str">
        <x:v>FA-2 rapid attack</x:v>
      </x:c>
      <x:c r="B35" s="57" t="str">
        <x:v>aircraft</x:v>
      </x:c>
      <x:c r="C35" s="65" t="n">
        <x:f>INDEX($F$24:$F$26,MATCH($C$5,$A$24:$A$26,0))</x:f>
        <x:v>24</x:v>
      </x:c>
      <x:c r="D35" s="57" t="str">
        <x:v>Initial and breach attack</x:v>
      </x:c>
      <x:c r="E35" s="57" t="str">
        <x:v>Payload band provisional</x:v>
      </x:c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</x:row>
    <x:row r="36">
      <x:c r="A36" s="57" t="str">
        <x:v>FA-3 amphibious</x:v>
      </x:c>
      <x:c r="B36" s="57" t="str">
        <x:v>aircraft</x:v>
      </x:c>
      <x:c r="C36" s="65" t="n">
        <x:f>INDEX($G$24:$G$26,MATCH($C$5,$A$24:$A$26,0))</x:f>
        <x:v>16</x:v>
      </x:c>
      <x:c r="D36" s="57" t="str">
        <x:v>Water cycling</x:v>
      </x:c>
      <x:c r="E36" s="57" t="str">
        <x:v>Water geometry not site modeled</x:v>
      </x:c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</x:row>
    <x:row r="37">
      <x:c r="A37" s="57" t="str">
        <x:v>FA-4 heavy line</x:v>
      </x:c>
      <x:c r="B37" s="57" t="str">
        <x:v>aircraft</x:v>
      </x:c>
      <x:c r="C37" s="65" t="n">
        <x:f>INDEX($H$24:$H$26,MATCH($C$5,$A$24:$A$26,0))</x:f>
        <x:v>12</x:v>
      </x:c>
      <x:c r="D37" s="57" t="str">
        <x:v>Campaign line building</x:v>
      </x:c>
      <x:c r="E37" s="57" t="str">
        <x:v>Airframe not selected</x:v>
      </x:c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</x:row>
    <x:row r="38">
      <x:c r="A38" s="57" t="str">
        <x:v>FA-5 precision vertical</x:v>
      </x:c>
      <x:c r="B38" s="57" t="str">
        <x:v>aircraft</x:v>
      </x:c>
      <x:c r="C38" s="65" t="n">
        <x:f>INDEX($I$24:$I$26,MATCH($C$5,$A$24:$A$26,0))</x:f>
        <x:v>18</x:v>
      </x:c>
      <x:c r="D38" s="57" t="str">
        <x:v>Point suppression and lift</x:v>
      </x:c>
      <x:c r="E38" s="57" t="str">
        <x:v>Mission variants remain separate</x:v>
      </x:c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</x:row>
    <x:row r="39">
      <x:c r="A39" s="57" t="str">
        <x:v>Air bases</x:v>
      </x:c>
      <x:c r="B39" s="57" t="str">
        <x:v>bases</x:v>
      </x:c>
      <x:c r="C39" s="65" t="n">
        <x:f>INDEX($J$24:$J$26,MATCH($C$5,$A$24:$A$26,0))</x:f>
        <x:v>6</x:v>
      </x:c>
      <x:c r="D39" s="57" t="str">
        <x:v>Loading, fuel and maintenance</x:v>
      </x:c>
      <x:c r="E39" s="57" t="str">
        <x:v>Base classes not yet differentiated</x:v>
      </x:c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</x:row>
    <x:row r="40">
      <x:c r="A40" s="57" t="str">
        <x:v>Airspace sectors</x:v>
      </x:c>
      <x:c r="B40" s="57" t="str">
        <x:v>sectors</x:v>
      </x:c>
      <x:c r="C40" s="65" t="n">
        <x:f>INDEX($K$24:$K$26,MATCH($C$5,$A$24:$A$26,0))</x:f>
        <x:v>4</x:v>
      </x:c>
      <x:c r="D40" s="57" t="str">
        <x:v>Mixed-operation capacity</x:v>
      </x:c>
      <x:c r="E40" s="57" t="str">
        <x:v>Single service-rate assumption</x:v>
      </x:c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</x:row>
    <x:row r="41">
      <x:c r="A41" s="57" t="str">
        <x:v>Ground crew modules</x:v>
      </x:c>
      <x:c r="B41" s="57" t="str">
        <x:v>20-person modules</x:v>
      </x:c>
      <x:c r="C41" s="65" t="n">
        <x:f>INDEX($L$24:$L$26,MATCH($C$5,$A$24:$A$26,0))</x:f>
        <x:v>48</x:v>
      </x:c>
      <x:c r="D41" s="57" t="str">
        <x:v>Handline and holding</x:v>
      </x:c>
      <x:c r="E41" s="57" t="str">
        <x:v>Crew type generalized</x:v>
      </x:c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</x:row>
    <x:row r="42">
      <x:c r="A42" s="57" t="str">
        <x:v>Robotic tractors</x:v>
      </x:c>
      <x:c r="B42" s="57" t="str">
        <x:v>machines</x:v>
      </x:c>
      <x:c r="C42" s="65" t="n">
        <x:f>INDEX($M$24:$M$26,MATCH($C$5,$A$24:$A$26,0))</x:f>
        <x:v>72</x:v>
      </x:c>
      <x:c r="D42" s="57" t="str">
        <x:v>Hazardous line work</x:v>
      </x:c>
      <x:c r="E42" s="57" t="str">
        <x:v>Technology not operationally verified</x:v>
      </x:c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</x:row>
    <x:row r="43">
      <x:c r="A43" s="57" t="str">
        <x:v>Water units</x:v>
      </x:c>
      <x:c r="B43" s="57" t="str">
        <x:v>systems</x:v>
      </x:c>
      <x:c r="C43" s="65" t="n">
        <x:f>INDEX($N$24:$N$26,MATCH($C$5,$A$24:$A$26,0))</x:f>
        <x:v>12</x:v>
      </x:c>
      <x:c r="D43" s="57" t="str">
        <x:v>Source-to-nozzle/drop flow</x:v>
      </x:c>
      <x:c r="E43" s="57" t="str">
        <x:v>Hydraulic route not configured</x:v>
      </x:c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</x:row>
    <x:row r="44">
      <x:c r="A44" s="57" t="str">
        <x:v>Structure teams</x:v>
      </x:c>
      <x:c r="B44" s="57" t="str">
        <x:v>teams</x:v>
      </x:c>
      <x:c r="C44" s="65" t="n">
        <x:f>INDEX($O$24:$O$26,MATCH($C$5,$A$24:$A$26,0))</x:f>
        <x:v>24</x:v>
      </x:c>
      <x:c r="D44" s="57" t="str">
        <x:v>Cluster defense</x:v>
      </x:c>
      <x:c r="E44" s="57" t="str">
        <x:v>Exposure class simplified</x:v>
      </x:c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</x:row>
    <x:row r="45">
      <x:c r="A45" s="57" t="str">
        <x:v>Clean-air modules</x:v>
      </x:c>
      <x:c r="B45" s="57" t="str">
        <x:v>modules</x:v>
      </x:c>
      <x:c r="C45" s="65" t="n">
        <x:f>INDEX($P$24:$P$26,MATCH($C$5,$A$24:$A$26,0))</x:f>
        <x:v>24</x:v>
      </x:c>
      <x:c r="D45" s="57" t="str">
        <x:v>Population and responder protection</x:v>
      </x:c>
      <x:c r="E45" s="57" t="str">
        <x:v>Building loads omitted</x:v>
      </x:c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</x:row>
    <x:row r="46">
      <x:c r="A46" s="57" t="str">
        <x:v>Command and sustainment</x:v>
      </x:c>
      <x:c r="B46" s="57" t="str">
        <x:v>t dry</x:v>
      </x:c>
      <x:c r="C46" s="65" t="n">
        <x:f>INDEX($Q$24:$Q$26,MATCH($C$5,$A$24:$A$26,0))</x:f>
        <x:v>6000</x:v>
      </x:c>
      <x:c r="D46" s="57" t="str">
        <x:v>Common campaign support</x:v>
      </x:c>
      <x:c r="E46" s="57" t="str">
        <x:v>Operating fuel and water omitted</x:v>
      </x:c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</x:row>
    <x:row r="49">
      <x:c r="A49" s="125" t="str">
        <x:v>Model boundary</x:v>
      </x:c>
      <x:c r="B49" s="125" t="str">
        <x:v>The workbook tests one reference package at a time and a national package count. It does not simulate dispatch across geography or reproduce operational fire-behavior software.</x:v>
      </x:c>
      <x:c r="C49" s="125"/>
      <x:c r="D49" s="125"/>
      <x:c r="E49" s="125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</x:row>
    <x:row r="50">
      <x:c r="A50" s="125" t="str">
        <x:v>Evidence rule</x:v>
      </x:c>
      <x:c r="B50" s="125" t="str">
        <x:v>Yellow cells are assumptions or controls. Blue cells are formulas. Official sources bound the method, but most configuration coefficients still require experiments or reference-class estimates.</x:v>
      </x:c>
      <x:c r="C50" s="125"/>
      <x:c r="D50" s="125"/>
      <x:c r="E50" s="125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</x:row>
  </x:sheetData>
  <x:mergeCells>
    <x:mergeCell ref="B49:E49"/>
    <x:mergeCell ref="B50:E50"/>
  </x:mergeCells>
  <x:dataValidations count="2">
    <x:dataValidation type="list" sqref="C5">
      <x:formula1>"Ignition Intercept Cell,Reinforced Initial Attack,IFCG Campaign"</x:formula1>
    </x:dataValidation>
    <x:dataValidation type="list" sqref="C6">
      <x:formula1>"WUI wind-driven,Grass rapid,Timber severe,Timber moderate"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6" hidden="0" customWidth="1"/>
    <x:col min="5" max="5" width="20" hidden="0" customWidth="1"/>
    <x:col min="6" max="6" width="16" hidden="0" customWidth="1"/>
    <x:col min="7" max="7" width="22" hidden="0" customWidth="1"/>
    <x:col min="8" max="8" width="18" hidden="0" customWidth="1"/>
    <x:col min="9" max="9" width="22" hidden="0" customWidth="1"/>
    <x:col min="10" max="10" width="22" hidden="0" customWidth="1"/>
  </x:cols>
  <x:sheetData>
    <x:row r="1">
      <x:c r="A1" s="121" t="str">
        <x:v>Fire planning cases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118"/>
    </x:row>
    <x:row r="2">
      <x:c r="A2" s="119" t="str">
        <x:v>Illustrative cases expose force sensitivities. Spread, escape, post-intervention behavior and consequence values are editable assumptions, not forecasts.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120"/>
    </x:row>
    <x:row r="4">
      <x:c r="A4" s="10" t="str">
        <x:v>Case</x:v>
      </x:c>
      <x:c r="B4" s="11" t="str">
        <x:v>Fuel and setting</x:v>
      </x:c>
      <x:c r="C4" s="11" t="str">
        <x:v>Head ROS (km/h)</x:v>
      </x:c>
      <x:c r="D4" s="11" t="str">
        <x:v>Length:breadth</x:v>
      </x:c>
      <x:c r="E4" s="11" t="str">
        <x:v>Escape threshold (min)</x:v>
      </x:c>
      <x:c r="F4" s="11" t="str">
        <x:v>Spotting reserve</x:v>
      </x:c>
      <x:c r="G4" s="11" t="str">
        <x:v>Post-intervention spread factor</x:v>
      </x:c>
      <x:c r="H4" s="11" t="str">
        <x:v>Control horizon (h)</x:v>
      </x:c>
      <x:c r="I4" s="11" t="str">
        <x:v>Structure clusters at risk</x:v>
      </x:c>
      <x:c r="J4" s="12" t="str">
        <x:v>Population in smoke zone</x:v>
      </x:c>
      <x:c r="K4" s="120"/>
    </x:row>
    <x:row r="5">
      <x:c r="A5" s="57" t="str">
        <x:v>WUI wind-driven</x:v>
      </x:c>
      <x:c r="B5" s="57" t="str">
        <x:v>Mixed vegetation and dense interface</x:v>
      </x:c>
      <x:c r="C5" s="59" t="n">
        <x:v>3</x:v>
      </x:c>
      <x:c r="D5" s="59" t="n">
        <x:v>4</x:v>
      </x:c>
      <x:c r="E5" s="61" t="n">
        <x:v>50</x:v>
      </x:c>
      <x:c r="F5" s="60" t="n">
        <x:v>0.4</x:v>
      </x:c>
      <x:c r="G5" s="60" t="n">
        <x:v>0.55</x:v>
      </x:c>
      <x:c r="H5" s="61" t="n">
        <x:v>24</x:v>
      </x:c>
      <x:c r="I5" s="61" t="n">
        <x:v>200</x:v>
      </x:c>
      <x:c r="J5" s="61" t="n">
        <x:v>100000</x:v>
      </x:c>
      <x:c r="K5" s="120"/>
    </x:row>
    <x:row r="6">
      <x:c r="A6" s="57" t="str">
        <x:v>Grass rapid</x:v>
      </x:c>
      <x:c r="B6" s="57" t="str">
        <x:v>Open grass and wind</x:v>
      </x:c>
      <x:c r="C6" s="59" t="n">
        <x:v>5</x:v>
      </x:c>
      <x:c r="D6" s="59" t="n">
        <x:v>5</x:v>
      </x:c>
      <x:c r="E6" s="61" t="n">
        <x:v>30</x:v>
      </x:c>
      <x:c r="F6" s="60" t="n">
        <x:v>0.2</x:v>
      </x:c>
      <x:c r="G6" s="60" t="n">
        <x:v>0.5</x:v>
      </x:c>
      <x:c r="H6" s="61" t="n">
        <x:v>12</x:v>
      </x:c>
      <x:c r="I6" s="61" t="n">
        <x:v>30</x:v>
      </x:c>
      <x:c r="J6" s="61" t="n">
        <x:v>20000</x:v>
      </x:c>
      <x:c r="K6" s="120"/>
    </x:row>
    <x:row r="7">
      <x:c r="A7" s="57" t="str">
        <x:v>Timber severe</x:v>
      </x:c>
      <x:c r="B7" s="57" t="str">
        <x:v>Timber, slope and spotting</x:v>
      </x:c>
      <x:c r="C7" s="59" t="n">
        <x:v>1.2</x:v>
      </x:c>
      <x:c r="D7" s="59" t="n">
        <x:v>3</x:v>
      </x:c>
      <x:c r="E7" s="61" t="n">
        <x:v>90</x:v>
      </x:c>
      <x:c r="F7" s="60" t="n">
        <x:v>0.3</x:v>
      </x:c>
      <x:c r="G7" s="60" t="n">
        <x:v>0.45</x:v>
      </x:c>
      <x:c r="H7" s="61" t="n">
        <x:v>48</x:v>
      </x:c>
      <x:c r="I7" s="61" t="n">
        <x:v>20</x:v>
      </x:c>
      <x:c r="J7" s="61" t="n">
        <x:v>50000</x:v>
      </x:c>
      <x:c r="K7" s="120"/>
    </x:row>
    <x:row r="8">
      <x:c r="A8" s="57" t="str">
        <x:v>Timber moderate</x:v>
      </x:c>
      <x:c r="B8" s="57" t="str">
        <x:v>Timber litter and lower wind</x:v>
      </x:c>
      <x:c r="C8" s="59" t="n">
        <x:v>0.35</x:v>
      </x:c>
      <x:c r="D8" s="59" t="n">
        <x:v>2</x:v>
      </x:c>
      <x:c r="E8" s="61" t="n">
        <x:v>180</x:v>
      </x:c>
      <x:c r="F8" s="60" t="n">
        <x:v>0.15</x:v>
      </x:c>
      <x:c r="G8" s="60" t="n">
        <x:v>0.4</x:v>
      </x:c>
      <x:c r="H8" s="61" t="n">
        <x:v>72</x:v>
      </x:c>
      <x:c r="I8" s="61" t="n">
        <x:v>5</x:v>
      </x:c>
      <x:c r="J8" s="61" t="n">
        <x:v>10000</x:v>
      </x:c>
      <x:c r="K8" s="120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120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120"/>
    </x:row>
    <x:row r="11">
      <x:c r="A11" s="62" t="str">
        <x:v>Selected case</x:v>
      </x:c>
      <x:c r="B11" s="63"/>
      <x:c r="C11" s="63"/>
      <x:c r="D11" s="63"/>
      <x:c r="E11" s="64"/>
      <x:c r="F11" s="57"/>
      <x:c r="G11" s="57"/>
      <x:c r="H11" s="57"/>
      <x:c r="I11" s="57"/>
      <x:c r="J11" s="57"/>
      <x:c r="K11" s="120"/>
    </x:row>
    <x:row r="12">
      <x:c r="A12" s="10" t="str">
        <x:v>Parameter</x:v>
      </x:c>
      <x:c r="B12" s="11" t="str">
        <x:v>Value</x:v>
      </x:c>
      <x:c r="C12" s="11" t="str">
        <x:v>Unit</x:v>
      </x:c>
      <x:c r="D12" s="11" t="str">
        <x:v>Use</x:v>
      </x:c>
      <x:c r="E12" s="12" t="str">
        <x:v>Evidence class</x:v>
      </x:c>
      <x:c r="F12" s="57"/>
      <x:c r="G12" s="57"/>
      <x:c r="H12" s="57"/>
      <x:c r="I12" s="57"/>
      <x:c r="J12" s="57"/>
      <x:c r="K12" s="120"/>
    </x:row>
    <x:row r="13">
      <x:c r="A13" s="57" t="str">
        <x:v>Head rate of spread</x:v>
      </x:c>
      <x:c r="B13" s="75" t="n">
        <x:f>INDEX($C$5:$C$8,MATCH('Controls'!$C$6,$A$5:$A$8,0))</x:f>
        <x:v>3</x:v>
      </x:c>
      <x:c r="C13" s="57" t="str">
        <x:v>km/h</x:v>
      </x:c>
      <x:c r="D13" s="57" t="str">
        <x:v>Growth geometry</x:v>
      </x:c>
      <x:c r="E13" s="57" t="str">
        <x:v>Design assumption</x:v>
      </x:c>
      <x:c r="F13" s="57"/>
      <x:c r="G13" s="57"/>
      <x:c r="H13" s="57"/>
      <x:c r="I13" s="57"/>
      <x:c r="J13" s="57"/>
      <x:c r="K13" s="120"/>
    </x:row>
    <x:row r="14">
      <x:c r="A14" s="57" t="str">
        <x:v>Length:breadth</x:v>
      </x:c>
      <x:c r="B14" s="75" t="n">
        <x:f>INDEX($D$5:$D$8,MATCH('Controls'!$C$6,$A$5:$A$8,0))</x:f>
        <x:v>4</x:v>
      </x:c>
      <x:c r="C14" s="57" t="str">
        <x:v>ratio</x:v>
      </x:c>
      <x:c r="D14" s="57" t="str">
        <x:v>Ellipse screening</x:v>
      </x:c>
      <x:c r="E14" s="57" t="str">
        <x:v>Design assumption</x:v>
      </x:c>
      <x:c r="F14" s="57"/>
      <x:c r="G14" s="57"/>
      <x:c r="H14" s="57"/>
      <x:c r="I14" s="57"/>
      <x:c r="J14" s="57"/>
      <x:c r="K14" s="120"/>
    </x:row>
    <x:row r="15">
      <x:c r="A15" s="57" t="str">
        <x:v>Escape threshold</x:v>
      </x:c>
      <x:c r="B15" s="65" t="n">
        <x:f>INDEX($E$5:$E$8,MATCH('Controls'!$C$6,$A$5:$A$8,0))</x:f>
        <x:v>50</x:v>
      </x:c>
      <x:c r="C15" s="57" t="str">
        <x:v>minutes</x:v>
      </x:c>
      <x:c r="D15" s="57" t="str">
        <x:v>Intercept probability</x:v>
      </x:c>
      <x:c r="E15" s="57" t="str">
        <x:v>Design assumption</x:v>
      </x:c>
      <x:c r="F15" s="57"/>
      <x:c r="G15" s="57"/>
      <x:c r="H15" s="57"/>
      <x:c r="I15" s="57"/>
      <x:c r="J15" s="57"/>
      <x:c r="K15" s="120"/>
    </x:row>
    <x:row r="16">
      <x:c r="A16" s="57" t="str">
        <x:v>Spotting reserve</x:v>
      </x:c>
      <x:c r="B16" s="76" t="n">
        <x:f>INDEX($F$5:$F$8,MATCH('Controls'!$C$6,$A$5:$A$8,0))</x:f>
        <x:v>0.4</x:v>
      </x:c>
      <x:c r="C16" s="57" t="str">
        <x:v>% required line</x:v>
      </x:c>
      <x:c r="D16" s="57" t="str">
        <x:v>Control-feature requirement</x:v>
      </x:c>
      <x:c r="E16" s="57" t="str">
        <x:v>Design assumption</x:v>
      </x:c>
      <x:c r="F16" s="57"/>
      <x:c r="G16" s="57"/>
      <x:c r="H16" s="57"/>
      <x:c r="I16" s="57"/>
      <x:c r="J16" s="57"/>
      <x:c r="K16" s="120"/>
    </x:row>
    <x:row r="17">
      <x:c r="A17" s="57" t="str">
        <x:v>Post-intervention spread factor</x:v>
      </x:c>
      <x:c r="B17" s="76" t="n">
        <x:f>INDEX($G$5:$G$8,MATCH('Controls'!$C$6,$A$5:$A$8,0))</x:f>
        <x:v>0.55</x:v>
      </x:c>
      <x:c r="C17" s="57" t="str">
        <x:v>% uncontrolled</x:v>
      </x:c>
      <x:c r="D17" s="57" t="str">
        <x:v>Closure-rate screening</x:v>
      </x:c>
      <x:c r="E17" s="57" t="str">
        <x:v>Design assumption</x:v>
      </x:c>
      <x:c r="F17" s="57"/>
      <x:c r="G17" s="57"/>
      <x:c r="H17" s="57"/>
      <x:c r="I17" s="57"/>
      <x:c r="J17" s="57"/>
      <x:c r="K17" s="120"/>
    </x:row>
    <x:row r="18">
      <x:c r="A18" s="57" t="str">
        <x:v>Control horizon</x:v>
      </x:c>
      <x:c r="B18" s="77" t="n">
        <x:f>INDEX($H$5:$H$8,MATCH('Controls'!$C$6,$A$5:$A$8,0))</x:f>
        <x:v>24</x:v>
      </x:c>
      <x:c r="C18" s="57" t="str">
        <x:v>hours</x:v>
      </x:c>
      <x:c r="D18" s="57" t="str">
        <x:v>Scenario reporting</x:v>
      </x:c>
      <x:c r="E18" s="57" t="str">
        <x:v>Design assumption</x:v>
      </x:c>
      <x:c r="F18" s="57"/>
      <x:c r="G18" s="57"/>
      <x:c r="H18" s="57"/>
      <x:c r="I18" s="57"/>
      <x:c r="J18" s="57"/>
      <x:c r="K18" s="120"/>
    </x:row>
    <x:row r="19">
      <x:c r="A19" s="57" t="str">
        <x:v>Structure clusters at risk</x:v>
      </x:c>
      <x:c r="B19" s="77" t="n">
        <x:f>INDEX($I$5:$I$8,MATCH('Controls'!$C$6,$A$5:$A$8,0))</x:f>
        <x:v>200</x:v>
      </x:c>
      <x:c r="C19" s="57" t="str">
        <x:v>clusters</x:v>
      </x:c>
      <x:c r="D19" s="57" t="str">
        <x:v>Community-defense demand</x:v>
      </x:c>
      <x:c r="E19" s="57" t="str">
        <x:v>Design assumption</x:v>
      </x:c>
      <x:c r="F19" s="57"/>
      <x:c r="G19" s="57"/>
      <x:c r="H19" s="57"/>
      <x:c r="I19" s="57"/>
      <x:c r="J19" s="57"/>
      <x:c r="K19" s="120"/>
    </x:row>
    <x:row r="20">
      <x:c r="A20" s="57" t="str">
        <x:v>Population in smoke zone</x:v>
      </x:c>
      <x:c r="B20" s="77" t="n">
        <x:f>INDEX($J$5:$J$8,MATCH('Controls'!$C$6,$A$5:$A$8,0))</x:f>
        <x:v>100000</x:v>
      </x:c>
      <x:c r="C20" s="57" t="str">
        <x:v>people</x:v>
      </x:c>
      <x:c r="D20" s="57" t="str">
        <x:v>Clean-air demand</x:v>
      </x:c>
      <x:c r="E20" s="57" t="str">
        <x:v>Design assumption</x:v>
      </x:c>
      <x:c r="F20" s="57"/>
      <x:c r="G20" s="57"/>
      <x:c r="H20" s="57"/>
      <x:c r="I20" s="57"/>
      <x:c r="J20" s="57"/>
      <x:c r="K20" s="120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120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120"/>
    </x:row>
    <x:row r="23">
      <x:c r="A23" s="125" t="str">
        <x:v>Geometry</x:v>
      </x:c>
      <x:c r="B23" s="125" t="str">
        <x:v>The model treats growth as an ellipse with constant head ROS. It is a force-screening abstraction; real behavior requires weather, fuels, terrain, spotting, plume dynamics and observation updates.</x:v>
      </x:c>
      <x:c r="C23" s="125"/>
      <x:c r="D23" s="125"/>
      <x:c r="E23" s="125"/>
      <x:c r="F23" s="57"/>
      <x:c r="G23" s="57"/>
      <x:c r="H23" s="57"/>
      <x:c r="I23" s="57"/>
      <x:c r="J23" s="57"/>
      <x:c r="K23" s="120"/>
    </x:row>
    <x:row r="24">
      <x:c r="A24" s="125" t="str">
        <x:v>Escape probability</x:v>
      </x:c>
      <x:c r="B24" s="125" t="str">
        <x:v>The escape threshold is a scenario input. It is not a universal physical transition and must be replaced with regional distributions.</x:v>
      </x:c>
      <x:c r="C24" s="125"/>
      <x:c r="D24" s="125"/>
      <x:c r="E24" s="125"/>
      <x:c r="F24" s="57"/>
      <x:c r="G24" s="57"/>
      <x:c r="H24" s="57"/>
      <x:c r="I24" s="57"/>
      <x:c r="J24" s="57"/>
      <x:c r="K24" s="120"/>
    </x:row>
  </x:sheetData>
  <x:mergeCells>
    <x:mergeCell ref="B23:E23"/>
    <x:mergeCell ref="B24:E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40" hidden="0" customWidth="1"/>
    <x:col min="5" max="5" width="28" hidden="0" customWidth="1"/>
  </x:cols>
  <x:sheetData>
    <x:row r="1">
      <x:c r="A1" s="121" t="str">
        <x:v>Detection-to-effective-action clock</x:v>
      </x:c>
      <x:c r="B1" s="56"/>
      <x:c r="C1" s="56"/>
      <x:c r="D1" s="56"/>
      <x:c r="E1" s="56"/>
      <x:c r="F1" s="118"/>
      <x:c r="G1" s="118"/>
      <x:c r="H1" s="118"/>
      <x:c r="I1" s="118"/>
      <x:c r="J1" s="118"/>
      <x:c r="K1" s="118"/>
      <x:c r="L1" s="118"/>
      <x:c r="M1" s="118"/>
    </x:row>
    <x:row r="2">
      <x:c r="A2" s="119" t="str">
        <x:v>The complete clock ends at a correctly placed intervention. P50 and P90 are planning approximations; modeled probability uses a disclosed logistic approximation.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</x:row>
    <x:row r="3">
      <x:c r="A3" s="57"/>
      <x:c r="B3" s="57"/>
      <x:c r="C3" s="57"/>
      <x:c r="D3" s="57"/>
      <x:c r="E3" s="57"/>
      <x:c r="F3" s="120"/>
      <x:c r="G3" s="120"/>
      <x:c r="H3" s="120"/>
      <x:c r="I3" s="120"/>
      <x:c r="J3" s="120"/>
      <x:c r="K3" s="120"/>
      <x:c r="L3" s="120"/>
      <x:c r="M3" s="120"/>
    </x:row>
    <x:row r="4">
      <x:c r="A4" s="10" t="str">
        <x:v>Stage</x:v>
      </x:c>
      <x:c r="B4" s="11" t="str">
        <x:v>P50 (min)</x:v>
      </x:c>
      <x:c r="C4" s="11" t="str">
        <x:v>P90 (min)</x:v>
      </x:c>
      <x:c r="D4" s="11" t="str">
        <x:v>Driver</x:v>
      </x:c>
      <x:c r="E4" s="12" t="str">
        <x:v>Evidence class</x:v>
      </x:c>
      <x:c r="F4" s="120"/>
      <x:c r="G4" s="120"/>
      <x:c r="H4" s="120"/>
      <x:c r="I4" s="120"/>
      <x:c r="J4" s="120"/>
      <x:c r="K4" s="120"/>
      <x:c r="L4" s="120"/>
      <x:c r="M4" s="120"/>
    </x:row>
    <x:row r="5">
      <x:c r="A5" s="57" t="str">
        <x:v>Detection</x:v>
      </x:c>
      <x:c r="B5" s="85" t="n">
        <x:f>IF('Controls'!$C$5="Ignition Intercept Cell",3,IF('Controls'!$C$5="Reinforced Initial Attack",5,7))</x:f>
        <x:v>7</x:v>
      </x:c>
      <x:c r="C5" s="85" t="n">
        <x:f>IF('Controls'!$C$5="Ignition Intercept Cell",8,IF('Controls'!$C$5="Reinforced Initial Attack",12,16))</x:f>
        <x:v>16</x:v>
      </x:c>
      <x:c r="D5" s="57" t="str">
        <x:v>Sensor coverage, obscuration and revisit</x:v>
      </x:c>
      <x:c r="E5" s="57" t="str">
        <x:v>Design assumption</x:v>
      </x:c>
      <x:c r="F5" s="120"/>
      <x:c r="G5" s="120"/>
      <x:c r="H5" s="120"/>
      <x:c r="I5" s="120"/>
      <x:c r="J5" s="120"/>
      <x:c r="K5" s="120"/>
      <x:c r="L5" s="120"/>
      <x:c r="M5" s="120"/>
    </x:row>
    <x:row r="6">
      <x:c r="A6" s="57" t="str">
        <x:v>Verification</x:v>
      </x:c>
      <x:c r="B6" s="85" t="n">
        <x:f>IF('Controls'!$C$5="Ignition Intercept Cell",3,IF('Controls'!$C$5="Reinforced Initial Attack",5,7))</x:f>
        <x:v>7</x:v>
      </x:c>
      <x:c r="C6" s="85" t="n">
        <x:f>IF('Controls'!$C$5="Ignition Intercept Cell",8,IF('Controls'!$C$5="Reinforced Initial Attack",12,16))</x:f>
        <x:v>16</x:v>
      </x:c>
      <x:c r="D6" s="57" t="str">
        <x:v>False alarms and analyst capacity</x:v>
      </x:c>
      <x:c r="E6" s="57" t="str">
        <x:v>Design assumption</x:v>
      </x:c>
      <x:c r="F6" s="120"/>
      <x:c r="G6" s="120"/>
      <x:c r="H6" s="120"/>
      <x:c r="I6" s="120"/>
      <x:c r="J6" s="120"/>
      <x:c r="K6" s="120"/>
      <x:c r="L6" s="120"/>
      <x:c r="M6" s="120"/>
    </x:row>
    <x:row r="7">
      <x:c r="A7" s="57" t="str">
        <x:v>Decision and assignment</x:v>
      </x:c>
      <x:c r="B7" s="85" t="n">
        <x:f>IF('Controls'!$C$5="Ignition Intercept Cell",3,IF('Controls'!$C$5="Reinforced Initial Attack",5,8))</x:f>
        <x:v>8</x:v>
      </x:c>
      <x:c r="C7" s="85" t="n">
        <x:f>IF('Controls'!$C$5="Ignition Intercept Cell",8,IF('Controls'!$C$5="Reinforced Initial Attack",12,18))</x:f>
        <x:v>18</x:v>
      </x:c>
      <x:c r="D7" s="57" t="str">
        <x:v>Authority, priority and airspace</x:v>
      </x:c>
      <x:c r="E7" s="57" t="str">
        <x:v>Design assumption</x:v>
      </x:c>
      <x:c r="F7" s="120"/>
      <x:c r="G7" s="120"/>
      <x:c r="H7" s="120"/>
      <x:c r="I7" s="120"/>
      <x:c r="J7" s="120"/>
      <x:c r="K7" s="120"/>
      <x:c r="L7" s="120"/>
      <x:c r="M7" s="120"/>
    </x:row>
    <x:row r="8">
      <x:c r="A8" s="57" t="str">
        <x:v>Launch</x:v>
      </x:c>
      <x:c r="B8" s="85" t="n">
        <x:f>IF('Controls'!$C$5="Ignition Intercept Cell",8,IF('Controls'!$C$5="Reinforced Initial Attack",12,18))</x:f>
        <x:v>18</x:v>
      </x:c>
      <x:c r="C8" s="85" t="n">
        <x:f>IF('Controls'!$C$5="Ignition Intercept Cell",18,IF('Controls'!$C$5="Reinforced Initial Attack",25,35))</x:f>
        <x:v>35</x:v>
      </x:c>
      <x:c r="D8" s="57" t="str">
        <x:v>Alert posture, crew and base state</x:v>
      </x:c>
      <x:c r="E8" s="57" t="str">
        <x:v>Design assumption</x:v>
      </x:c>
      <x:c r="F8" s="120"/>
      <x:c r="G8" s="120"/>
      <x:c r="H8" s="120"/>
      <x:c r="I8" s="120"/>
      <x:c r="J8" s="120"/>
      <x:c r="K8" s="120"/>
      <x:c r="L8" s="120"/>
      <x:c r="M8" s="120"/>
    </x:row>
    <x:row r="9">
      <x:c r="A9" s="57" t="str">
        <x:v>Transit</x:v>
      </x:c>
      <x:c r="B9" s="85" t="n">
        <x:f>'Controls'!$C$31/('Aircraft Families'!$D$6*1.852)*60</x:f>
        <x:v>21.598272138228943</x:v>
      </x:c>
      <x:c r="C9" s="85" t="n">
        <x:f>B9*1.5</x:f>
        <x:v>32.39740820734342</x:v>
      </x:c>
      <x:c r="D9" s="57" t="str">
        <x:v>Distance and FA-2 cruise screening speed</x:v>
      </x:c>
      <x:c r="E9" s="57" t="str">
        <x:v>Calculated</x:v>
      </x:c>
      <x:c r="F9" s="120"/>
      <x:c r="G9" s="120"/>
      <x:c r="H9" s="120"/>
      <x:c r="I9" s="120"/>
      <x:c r="J9" s="120"/>
      <x:c r="K9" s="120"/>
      <x:c r="L9" s="120"/>
      <x:c r="M9" s="120"/>
    </x:row>
    <x:row r="10">
      <x:c r="A10" s="57" t="str">
        <x:v>Target acquisition and first effect</x:v>
      </x:c>
      <x:c r="B10" s="85" t="n">
        <x:f>IF('Controls'!$C$5="Ignition Intercept Cell",4,IF('Controls'!$C$5="Reinforced Initial Attack",6,8))</x:f>
        <x:v>8</x:v>
      </x:c>
      <x:c r="C10" s="85" t="n">
        <x:f>IF('Controls'!$C$5="Ignition Intercept Cell",10,IF('Controls'!$C$5="Reinforced Initial Attack",14,18))</x:f>
        <x:v>18</x:v>
      </x:c>
      <x:c r="D10" s="57" t="str">
        <x:v>Smoke, terrain, coordination and delivery</x:v>
      </x:c>
      <x:c r="E10" s="57" t="str">
        <x:v>Design assumption</x:v>
      </x:c>
      <x:c r="F10" s="120"/>
      <x:c r="G10" s="120"/>
      <x:c r="H10" s="120"/>
      <x:c r="I10" s="120"/>
      <x:c r="J10" s="120"/>
      <x:c r="K10" s="120"/>
      <x:c r="L10" s="120"/>
      <x:c r="M10" s="120"/>
    </x:row>
    <x:row r="11">
      <x:c r="A11" s="57"/>
      <x:c r="B11" s="57"/>
      <x:c r="C11" s="57"/>
      <x:c r="D11" s="57"/>
      <x:c r="E11" s="57"/>
      <x:c r="F11" s="120"/>
      <x:c r="G11" s="120"/>
      <x:c r="H11" s="120"/>
      <x:c r="I11" s="120"/>
      <x:c r="J11" s="120"/>
      <x:c r="K11" s="120"/>
      <x:c r="L11" s="120"/>
      <x:c r="M11" s="120"/>
    </x:row>
    <x:row r="12">
      <x:c r="A12" s="57"/>
      <x:c r="B12" s="57"/>
      <x:c r="C12" s="57"/>
      <x:c r="D12" s="57"/>
      <x:c r="E12" s="57"/>
      <x:c r="F12" s="120"/>
      <x:c r="G12" s="120"/>
      <x:c r="H12" s="120"/>
      <x:c r="I12" s="120"/>
      <x:c r="J12" s="120"/>
      <x:c r="K12" s="120"/>
      <x:c r="L12" s="120"/>
      <x:c r="M12" s="120"/>
    </x:row>
    <x:row r="13">
      <x:c r="A13" s="62" t="str">
        <x:v>Intercept result</x:v>
      </x:c>
      <x:c r="B13" s="63"/>
      <x:c r="C13" s="63"/>
      <x:c r="D13" s="63"/>
      <x:c r="E13" s="64"/>
      <x:c r="F13" s="120"/>
      <x:c r="G13" s="120"/>
      <x:c r="H13" s="120"/>
      <x:c r="I13" s="120"/>
      <x:c r="J13" s="120"/>
      <x:c r="K13" s="120"/>
      <x:c r="L13" s="120"/>
      <x:c r="M13" s="120"/>
    </x:row>
    <x:row r="14">
      <x:c r="A14" s="10" t="str">
        <x:v>Metric</x:v>
      </x:c>
      <x:c r="B14" s="11" t="str">
        <x:v>Value</x:v>
      </x:c>
      <x:c r="C14" s="11" t="str">
        <x:v>Unit</x:v>
      </x:c>
      <x:c r="D14" s="11" t="str">
        <x:v>Interpretation</x:v>
      </x:c>
      <x:c r="E14" s="12" t="str">
        <x:v>Limit</x:v>
      </x:c>
      <x:c r="F14" s="120"/>
      <x:c r="G14" s="120"/>
      <x:c r="H14" s="120"/>
      <x:c r="I14" s="120"/>
      <x:c r="J14" s="120"/>
      <x:c r="K14" s="120"/>
      <x:c r="L14" s="120"/>
      <x:c r="M14" s="120"/>
    </x:row>
    <x:row r="15">
      <x:c r="A15" s="57" t="str">
        <x:v>P50 complete intercept</x:v>
      </x:c>
      <x:c r="B15" s="85" t="n">
        <x:f>SUM(B5:B10)</x:f>
        <x:v>69.59827213822894</x:v>
      </x:c>
      <x:c r="C15" s="57" t="str">
        <x:v>minutes</x:v>
      </x:c>
      <x:c r="D15" s="57" t="str">
        <x:v>Median planning clock</x:v>
      </x:c>
      <x:c r="E15" s="57" t="str">
        <x:v>Stage dependence omitted</x:v>
      </x:c>
      <x:c r="F15" s="120"/>
      <x:c r="G15" s="120"/>
      <x:c r="H15" s="120"/>
      <x:c r="I15" s="120"/>
      <x:c r="J15" s="120"/>
      <x:c r="K15" s="120"/>
      <x:c r="L15" s="120"/>
      <x:c r="M15" s="120"/>
    </x:row>
    <x:row r="16">
      <x:c r="A16" s="57" t="str">
        <x:v>P90 complete intercept</x:v>
      </x:c>
      <x:c r="B16" s="85" t="n">
        <x:f>SUM(C5:C10)</x:f>
        <x:v>135.3974082073434</x:v>
      </x:c>
      <x:c r="C16" s="57" t="str">
        <x:v>minutes</x:v>
      </x:c>
      <x:c r="D16" s="57" t="str">
        <x:v>Tail planning clock</x:v>
      </x:c>
      <x:c r="E16" s="57" t="str">
        <x:v>Not an empirical percentile</x:v>
      </x:c>
      <x:c r="F16" s="120"/>
      <x:c r="G16" s="120"/>
      <x:c r="H16" s="120"/>
      <x:c r="I16" s="120"/>
      <x:c r="J16" s="120"/>
      <x:c r="K16" s="120"/>
      <x:c r="L16" s="120"/>
      <x:c r="M16" s="120"/>
    </x:row>
    <x:row r="17">
      <x:c r="A17" s="57" t="str">
        <x:v>Implied response sigma</x:v>
      </x:c>
      <x:c r="B17" s="85" t="n">
        <x:f>(B16-B15)/1.28155</x:f>
        <x:v>51.343401403858195</x:v>
      </x:c>
      <x:c r="C17" s="57" t="str">
        <x:v>minutes</x:v>
      </x:c>
      <x:c r="D17" s="57" t="str">
        <x:v>(P90-P50)/1.28155</x:v>
      </x:c>
      <x:c r="E17" s="57" t="str">
        <x:v>Normal-shape screen</x:v>
      </x:c>
      <x:c r="F17" s="120"/>
      <x:c r="G17" s="120"/>
      <x:c r="H17" s="120"/>
      <x:c r="I17" s="120"/>
      <x:c r="J17" s="120"/>
      <x:c r="K17" s="120"/>
      <x:c r="L17" s="120"/>
      <x:c r="M17" s="120"/>
    </x:row>
    <x:row r="18">
      <x:c r="A18" s="57" t="str">
        <x:v>Escape threshold</x:v>
      </x:c>
      <x:c r="B18" s="85" t="n">
        <x:f>'Fire Cases'!$B$15</x:f>
        <x:v>50</x:v>
      </x:c>
      <x:c r="C18" s="57" t="str">
        <x:v>minutes</x:v>
      </x:c>
      <x:c r="D18" s="57" t="str">
        <x:v>Selected fire-case threshold</x:v>
      </x:c>
      <x:c r="E18" s="57" t="str">
        <x:v>Scenario assumption</x:v>
      </x:c>
      <x:c r="F18" s="120"/>
      <x:c r="G18" s="120"/>
      <x:c r="H18" s="120"/>
      <x:c r="I18" s="120"/>
      <x:c r="J18" s="120"/>
      <x:c r="K18" s="120"/>
      <x:c r="L18" s="120"/>
      <x:c r="M18" s="120"/>
    </x:row>
    <x:row r="19">
      <x:c r="A19" s="57" t="str">
        <x:v>P90 escape margin</x:v>
      </x:c>
      <x:c r="B19" s="85" t="n">
        <x:f>B18-B16</x:f>
        <x:v>-85.3974082073434</x:v>
      </x:c>
      <x:c r="C19" s="57" t="str">
        <x:v>minutes</x:v>
      </x:c>
      <x:c r="D19" s="57" t="str">
        <x:v>Positive means P90 arrives before escape</x:v>
      </x:c>
      <x:c r="E19" s="57" t="str">
        <x:v>Threshold not calibrated</x:v>
      </x:c>
      <x:c r="F19" s="120"/>
      <x:c r="G19" s="120"/>
      <x:c r="H19" s="120"/>
      <x:c r="I19" s="120"/>
      <x:c r="J19" s="120"/>
      <x:c r="K19" s="120"/>
      <x:c r="L19" s="120"/>
      <x:c r="M19" s="120"/>
    </x:row>
    <x:row r="20">
      <x:c r="A20" s="57" t="str">
        <x:v>Modeled action before escape</x:v>
      </x:c>
      <x:c r="B20" s="76" t="n">
        <x:f>IF(B17&lt;=0,IF(B18&gt;=B15,1,0),1/(1+EXP(-((B18-B15)/(B17*0.5513)))))</x:f>
        <x:v>0.3335036127057373</x:v>
      </x:c>
      <x:c r="C20" s="57" t="str">
        <x:v>probability</x:v>
      </x:c>
      <x:c r="D20" s="57" t="str">
        <x:v>Logistic approximation to response-time CDF</x:v>
      </x:c>
      <x:c r="E20" s="57" t="str">
        <x:v>Not an observed success rate</x:v>
      </x:c>
      <x:c r="F20" s="120"/>
      <x:c r="G20" s="120"/>
      <x:c r="H20" s="120"/>
      <x:c r="I20" s="120"/>
      <x:c r="J20" s="120"/>
      <x:c r="K20" s="120"/>
      <x:c r="L20" s="120"/>
      <x:c r="M20" s="120"/>
    </x:row>
    <x:row r="21">
      <x:c r="A21" s="57"/>
      <x:c r="B21" s="57"/>
      <x:c r="C21" s="57"/>
      <x:c r="D21" s="57"/>
      <x:c r="E21" s="57"/>
      <x:c r="F21" s="120"/>
      <x:c r="G21" s="120"/>
      <x:c r="H21" s="120"/>
      <x:c r="I21" s="120"/>
      <x:c r="J21" s="120"/>
      <x:c r="K21" s="120"/>
      <x:c r="L21" s="120"/>
      <x:c r="M21" s="120"/>
    </x:row>
    <x:row r="22">
      <x:c r="A22" s="57"/>
      <x:c r="B22" s="57"/>
      <x:c r="C22" s="57"/>
      <x:c r="D22" s="57"/>
      <x:c r="E22" s="57"/>
      <x:c r="F22" s="120"/>
      <x:c r="G22" s="120"/>
      <x:c r="H22" s="120"/>
      <x:c r="I22" s="120"/>
      <x:c r="J22" s="120"/>
      <x:c r="K22" s="120"/>
      <x:c r="L22" s="120"/>
      <x:c r="M22" s="120"/>
    </x:row>
    <x:row r="23">
      <x:c r="A23" s="125" t="str">
        <x:v>Probability method</x:v>
      </x:c>
      <x:c r="B23" s="125" t="str">
        <x:v>A logistic CDF is matched approximately to the P50 and P90 inputs. This is a transparent screening device, not a fitted response-time distribution.</x:v>
      </x:c>
      <x:c r="C23" s="125"/>
      <x:c r="D23" s="125"/>
      <x:c r="E23" s="125"/>
      <x:c r="F23" s="120"/>
      <x:c r="G23" s="120"/>
      <x:c r="H23" s="120"/>
      <x:c r="I23" s="120"/>
      <x:c r="J23" s="120"/>
      <x:c r="K23" s="120"/>
      <x:c r="L23" s="120"/>
      <x:c r="M23" s="120"/>
    </x:row>
    <x:row r="24">
      <x:c r="A24" s="125" t="str">
        <x:v>Success distinction</x:v>
      </x:c>
      <x:c r="B24" s="125" t="str">
        <x:v>Arrival before escape is not containment. Drop yield, line completion and hold are modeled separately.</x:v>
      </x:c>
      <x:c r="C24" s="125"/>
      <x:c r="D24" s="125"/>
      <x:c r="E24" s="125"/>
      <x:c r="F24" s="120"/>
      <x:c r="G24" s="120"/>
      <x:c r="H24" s="120"/>
      <x:c r="I24" s="120"/>
      <x:c r="J24" s="120"/>
      <x:c r="K24" s="120"/>
      <x:c r="L24" s="120"/>
      <x:c r="M24" s="120"/>
    </x:row>
  </x:sheetData>
  <x:mergeCells>
    <x:mergeCell ref="B23:E23"/>
    <x:mergeCell ref="B24:E24"/>
  </x:mergeCells>
  <x:conditionalFormatting sqref="B20:B2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20" hidden="0" customWidth="1"/>
    <x:col min="7" max="7" width="27" hidden="0" customWidth="1"/>
    <x:col min="8" max="8" width="24" hidden="0" customWidth="1"/>
  </x:cols>
  <x:sheetData>
    <x:row r="1">
      <x:c r="A1" s="121" t="str">
        <x:v>Uncontrolled fire-growth screen</x:v>
      </x:c>
      <x:c r="B1" s="56"/>
      <x:c r="C1" s="56"/>
      <x:c r="D1" s="56"/>
      <x:c r="E1" s="56"/>
      <x:c r="F1" s="56"/>
      <x:c r="G1" s="56"/>
      <x:c r="H1" s="56"/>
    </x:row>
    <x:row r="2">
      <x:c r="A2" s="119" t="str">
        <x:v>Constant-rate ellipse used only to expose time sensitivity and control-feature growth. This sheet does not replace operational fire-behavior modeling.</x:v>
      </x:c>
      <x:c r="B2" s="119"/>
      <x:c r="C2" s="119"/>
      <x:c r="D2" s="119"/>
      <x:c r="E2" s="119"/>
      <x:c r="F2" s="119"/>
      <x:c r="G2" s="119"/>
      <x:c r="H2" s="119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10" t="str">
        <x:v>Elapsed (min)</x:v>
      </x:c>
      <x:c r="B4" s="11" t="str">
        <x:v>Semi-major a (km)</x:v>
      </x:c>
      <x:c r="C4" s="11" t="str">
        <x:v>Semi-minor b (km)</x:v>
      </x:c>
      <x:c r="D4" s="11" t="str">
        <x:v>Area (km²)</x:v>
      </x:c>
      <x:c r="E4" s="11" t="str">
        <x:v>Perimeter (km)</x:v>
      </x:c>
      <x:c r="F4" s="11" t="str">
        <x:v>Required feature (km)</x:v>
      </x:c>
      <x:c r="G4" s="11" t="str">
        <x:v>Post-intervention feature growth (km/h)</x:v>
      </x:c>
      <x:c r="H4" s="12" t="str">
        <x:v>Decision point</x:v>
      </x:c>
    </x:row>
    <x:row r="5">
      <x:c r="A5" s="91" t="n">
        <x:v>15</x:v>
      </x:c>
      <x:c r="B5" s="75" t="n">
        <x:f>'Fire Cases'!$B$13*A5/60</x:f>
        <x:v>0.75</x:v>
      </x:c>
      <x:c r="C5" s="75" t="n">
        <x:f>B5/'Fire Cases'!$B$14</x:f>
        <x:v>0.1875</x:v>
      </x:c>
      <x:c r="D5" s="75" t="n">
        <x:f>PI()*B5*C5</x:f>
        <x:v>0.44178646691106466</x:v>
      </x:c>
      <x:c r="E5" s="75" t="n">
        <x:f>PI()*(3*(B5+C5)-SQRT((3*B5+C5)*(B5+3*C5)))</x:f>
        <x:v>3.216563612328561</x:v>
      </x:c>
      <x:c r="F5" s="75" t="n">
        <x:f>E5*'Controls'!$C$8*(1+'Fire Cases'!$B$16)</x:f>
        <x:v>5.628986321574981</x:v>
      </x:c>
      <x:c r="G5" s="75" t="n">
        <x:f>(F5/(A5/60))*'Fire Cases'!$B$17</x:f>
        <x:v>12.38376990746496</x:v>
      </x:c>
      <x:c r="H5" s="92" t="str">
        <x:f>IF(ABS(A5-'Detection Intercept'!$B$16)&lt;=15,"Near P90 intercept",IF(A5='Fire Cases'!$B$15,"Escape threshold",""))</x:f>
      </x:c>
    </x:row>
    <x:row r="6">
      <x:c r="A6" s="91" t="n">
        <x:v>30</x:v>
      </x:c>
      <x:c r="B6" s="75" t="n">
        <x:f>'Fire Cases'!$B$13*A6/60</x:f>
        <x:v>1.5</x:v>
      </x:c>
      <x:c r="C6" s="75" t="n">
        <x:f>B6/'Fire Cases'!$B$14</x:f>
        <x:v>0.375</x:v>
      </x:c>
      <x:c r="D6" s="75" t="n">
        <x:f>PI()*B6*C6</x:f>
        <x:v>1.7671458676442586</x:v>
      </x:c>
      <x:c r="E6" s="75" t="n">
        <x:f>PI()*(3*(B6+C6)-SQRT((3*B6+C6)*(B6+3*C6)))</x:f>
        <x:v>6.433127224657122</x:v>
      </x:c>
      <x:c r="F6" s="75" t="n">
        <x:f>E6*'Controls'!$C$8*(1+'Fire Cases'!$B$16)</x:f>
        <x:v>11.257972643149962</x:v>
      </x:c>
      <x:c r="G6" s="75" t="n">
        <x:f>(F6/(A6/60))*'Fire Cases'!$B$17</x:f>
        <x:v>12.38376990746496</x:v>
      </x:c>
      <x:c r="H6" s="92" t="str">
        <x:f>IF(ABS(A6-'Detection Intercept'!$B$16)&lt;=15,"Near P90 intercept",IF(A6='Fire Cases'!$B$15,"Escape threshold",""))</x:f>
      </x:c>
    </x:row>
    <x:row r="7">
      <x:c r="A7" s="91" t="n">
        <x:v>45</x:v>
      </x:c>
      <x:c r="B7" s="75" t="n">
        <x:f>'Fire Cases'!$B$13*A7/60</x:f>
        <x:v>2.25</x:v>
      </x:c>
      <x:c r="C7" s="75" t="n">
        <x:f>B7/'Fire Cases'!$B$14</x:f>
        <x:v>0.5625</x:v>
      </x:c>
      <x:c r="D7" s="75" t="n">
        <x:f>PI()*B7*C7</x:f>
        <x:v>3.9760782021995817</x:v>
      </x:c>
      <x:c r="E7" s="75" t="n">
        <x:f>PI()*(3*(B7+C7)-SQRT((3*B7+C7)*(B7+3*C7)))</x:f>
        <x:v>9.649690836985682</x:v>
      </x:c>
      <x:c r="F7" s="75" t="n">
        <x:f>E7*'Controls'!$C$8*(1+'Fire Cases'!$B$16)</x:f>
        <x:v>16.886958964724943</x:v>
      </x:c>
      <x:c r="G7" s="75" t="n">
        <x:f>(F7/(A7/60))*'Fire Cases'!$B$17</x:f>
        <x:v>12.38376990746496</x:v>
      </x:c>
      <x:c r="H7" s="92" t="str">
        <x:f>IF(ABS(A7-'Detection Intercept'!$B$16)&lt;=15,"Near P90 intercept",IF(A7='Fire Cases'!$B$15,"Escape threshold",""))</x:f>
      </x:c>
    </x:row>
    <x:row r="8">
      <x:c r="A8" s="91" t="n">
        <x:v>60</x:v>
      </x:c>
      <x:c r="B8" s="75" t="n">
        <x:f>'Fire Cases'!$B$13*A8/60</x:f>
        <x:v>3</x:v>
      </x:c>
      <x:c r="C8" s="75" t="n">
        <x:f>B8/'Fire Cases'!$B$14</x:f>
        <x:v>0.75</x:v>
      </x:c>
      <x:c r="D8" s="75" t="n">
        <x:f>PI()*B8*C8</x:f>
        <x:v>7.0685834705770345</x:v>
      </x:c>
      <x:c r="E8" s="75" t="n">
        <x:f>PI()*(3*(B8+C8)-SQRT((3*B8+C8)*(B8+3*C8)))</x:f>
        <x:v>12.866254449314244</x:v>
      </x:c>
      <x:c r="F8" s="75" t="n">
        <x:f>E8*'Controls'!$C$8*(1+'Fire Cases'!$B$16)</x:f>
        <x:v>22.515945286299925</x:v>
      </x:c>
      <x:c r="G8" s="75" t="n">
        <x:f>(F8/(A8/60))*'Fire Cases'!$B$17</x:f>
        <x:v>12.38376990746496</x:v>
      </x:c>
      <x:c r="H8" s="92" t="str">
        <x:f>IF(ABS(A8-'Detection Intercept'!$B$16)&lt;=15,"Near P90 intercept",IF(A8='Fire Cases'!$B$15,"Escape threshold",""))</x:f>
      </x:c>
    </x:row>
    <x:row r="9">
      <x:c r="A9" s="91" t="n">
        <x:v>90</x:v>
      </x:c>
      <x:c r="B9" s="75" t="n">
        <x:f>'Fire Cases'!$B$13*A9/60</x:f>
        <x:v>4.5</x:v>
      </x:c>
      <x:c r="C9" s="75" t="n">
        <x:f>B9/'Fire Cases'!$B$14</x:f>
        <x:v>1.125</x:v>
      </x:c>
      <x:c r="D9" s="75" t="n">
        <x:f>PI()*B9*C9</x:f>
        <x:v>15.904312808798327</x:v>
      </x:c>
      <x:c r="E9" s="75" t="n">
        <x:f>PI()*(3*(B9+C9)-SQRT((3*B9+C9)*(B9+3*C9)))</x:f>
        <x:v>19.299381673971364</x:v>
      </x:c>
      <x:c r="F9" s="75" t="n">
        <x:f>E9*'Controls'!$C$8*(1+'Fire Cases'!$B$16)</x:f>
        <x:v>33.77391792944989</x:v>
      </x:c>
      <x:c r="G9" s="75" t="n">
        <x:f>(F9/(A9/60))*'Fire Cases'!$B$17</x:f>
        <x:v>12.38376990746496</x:v>
      </x:c>
      <x:c r="H9" s="92" t="str">
        <x:f>IF(ABS(A9-'Detection Intercept'!$B$16)&lt;=15,"Near P90 intercept",IF(A9='Fire Cases'!$B$15,"Escape threshold",""))</x:f>
      </x:c>
    </x:row>
    <x:row r="10">
      <x:c r="A10" s="91" t="n">
        <x:v>120</x:v>
      </x:c>
      <x:c r="B10" s="75" t="n">
        <x:f>'Fire Cases'!$B$13*A10/60</x:f>
        <x:v>6</x:v>
      </x:c>
      <x:c r="C10" s="75" t="n">
        <x:f>B10/'Fire Cases'!$B$14</x:f>
        <x:v>1.5</x:v>
      </x:c>
      <x:c r="D10" s="75" t="n">
        <x:f>PI()*B10*C10</x:f>
        <x:v>28.274333882308138</x:v>
      </x:c>
      <x:c r="E10" s="75" t="n">
        <x:f>PI()*(3*(B10+C10)-SQRT((3*B10+C10)*(B10+3*C10)))</x:f>
        <x:v>25.73250889862849</x:v>
      </x:c>
      <x:c r="F10" s="75" t="n">
        <x:f>E10*'Controls'!$C$8*(1+'Fire Cases'!$B$16)</x:f>
        <x:v>45.03189057259985</x:v>
      </x:c>
      <x:c r="G10" s="75" t="n">
        <x:f>(F10/(A10/60))*'Fire Cases'!$B$17</x:f>
        <x:v>12.38376990746496</x:v>
      </x:c>
      <x:c r="H10" s="92" t="str">
        <x:f>IF(ABS(A10-'Detection Intercept'!$B$16)&lt;=15,"Near P90 intercept",IF(A10='Fire Cases'!$B$15,"Escape threshold",""))</x:f>
      </x:c>
    </x:row>
    <x:row r="11">
      <x:c r="A11" s="91" t="n">
        <x:v>240</x:v>
      </x:c>
      <x:c r="B11" s="75" t="n">
        <x:f>'Fire Cases'!$B$13*A11/60</x:f>
        <x:v>12</x:v>
      </x:c>
      <x:c r="C11" s="75" t="n">
        <x:f>B11/'Fire Cases'!$B$14</x:f>
        <x:v>3</x:v>
      </x:c>
      <x:c r="D11" s="75" t="n">
        <x:f>PI()*B11*C11</x:f>
        <x:v>113.09733552923255</x:v>
      </x:c>
      <x:c r="E11" s="75" t="n">
        <x:f>PI()*(3*(B11+C11)-SQRT((3*B11+C11)*(B11+3*C11)))</x:f>
        <x:v>51.46501779725698</x:v>
      </x:c>
      <x:c r="F11" s="75" t="n">
        <x:f>E11*'Controls'!$C$8*(1+'Fire Cases'!$B$16)</x:f>
        <x:v>90.0637811451997</x:v>
      </x:c>
      <x:c r="G11" s="75" t="n">
        <x:f>(F11/(A11/60))*'Fire Cases'!$B$17</x:f>
        <x:v>12.38376990746496</x:v>
      </x:c>
      <x:c r="H11" s="92" t="str">
        <x:f>IF(ABS(A11-'Detection Intercept'!$B$16)&lt;=15,"Near P90 intercept",IF(A11='Fire Cases'!$B$15,"Escape threshold",""))</x:f>
      </x:c>
    </x:row>
    <x:row r="12">
      <x:c r="A12" s="91" t="n">
        <x:v>360</x:v>
      </x:c>
      <x:c r="B12" s="75" t="n">
        <x:f>'Fire Cases'!$B$13*A12/60</x:f>
        <x:v>18</x:v>
      </x:c>
      <x:c r="C12" s="75" t="n">
        <x:f>B12/'Fire Cases'!$B$14</x:f>
        <x:v>4.5</x:v>
      </x:c>
      <x:c r="D12" s="75" t="n">
        <x:f>PI()*B12*C12</x:f>
        <x:v>254.46900494077323</x:v>
      </x:c>
      <x:c r="E12" s="75" t="n">
        <x:f>PI()*(3*(B12+C12)-SQRT((3*B12+C12)*(B12+3*C12)))</x:f>
        <x:v>77.19752669588546</x:v>
      </x:c>
      <x:c r="F12" s="75" t="n">
        <x:f>E12*'Controls'!$C$8*(1+'Fire Cases'!$B$16)</x:f>
        <x:v>135.09567171779955</x:v>
      </x:c>
      <x:c r="G12" s="75" t="n">
        <x:f>(F12/(A12/60))*'Fire Cases'!$B$17</x:f>
        <x:v>12.38376990746496</x:v>
      </x:c>
      <x:c r="H12" s="92" t="str">
        <x:f>IF(ABS(A12-'Detection Intercept'!$B$16)&lt;=15,"Near P90 intercept",IF(A12='Fire Cases'!$B$15,"Escape threshold",""))</x:f>
      </x:c>
    </x:row>
    <x:row r="13">
      <x:c r="A13" s="91" t="n">
        <x:v>720</x:v>
      </x:c>
      <x:c r="B13" s="75" t="n">
        <x:f>'Fire Cases'!$B$13*A13/60</x:f>
        <x:v>36</x:v>
      </x:c>
      <x:c r="C13" s="75" t="n">
        <x:f>B13/'Fire Cases'!$B$14</x:f>
        <x:v>9</x:v>
      </x:c>
      <x:c r="D13" s="75" t="n">
        <x:f>PI()*B13*C13</x:f>
        <x:v>1017.8760197630929</x:v>
      </x:c>
      <x:c r="E13" s="75" t="n">
        <x:f>PI()*(3*(B13+C13)-SQRT((3*B13+C13)*(B13+3*C13)))</x:f>
        <x:v>154.39505339177092</x:v>
      </x:c>
      <x:c r="F13" s="75" t="n">
        <x:f>E13*'Controls'!$C$8*(1+'Fire Cases'!$B$16)</x:f>
        <x:v>270.1913434355991</x:v>
      </x:c>
      <x:c r="G13" s="75" t="n">
        <x:f>(F13/(A13/60))*'Fire Cases'!$B$17</x:f>
        <x:v>12.38376990746496</x:v>
      </x:c>
      <x:c r="H13" s="92" t="str">
        <x:f>IF(ABS(A13-'Detection Intercept'!$B$16)&lt;=15,"Near P90 intercept",IF(A13='Fire Cases'!$B$15,"Escape threshold",""))</x:f>
      </x:c>
    </x:row>
    <x:row r="14">
      <x:c r="A14" s="91" t="n">
        <x:v>1440</x:v>
      </x:c>
      <x:c r="B14" s="75" t="n">
        <x:f>'Fire Cases'!$B$13*A14/60</x:f>
        <x:v>72</x:v>
      </x:c>
      <x:c r="C14" s="75" t="n">
        <x:f>B14/'Fire Cases'!$B$14</x:f>
        <x:v>18</x:v>
      </x:c>
      <x:c r="D14" s="75" t="n">
        <x:f>PI()*B14*C14</x:f>
        <x:v>4071.5040790523717</x:v>
      </x:c>
      <x:c r="E14" s="75" t="n">
        <x:f>PI()*(3*(B14+C14)-SQRT((3*B14+C14)*(B14+3*C14)))</x:f>
        <x:v>308.79010678354183</x:v>
      </x:c>
      <x:c r="F14" s="75" t="n">
        <x:f>E14*'Controls'!$C$8*(1+'Fire Cases'!$B$16)</x:f>
        <x:v>540.3826868711982</x:v>
      </x:c>
      <x:c r="G14" s="75" t="n">
        <x:f>(F14/(A14/60))*'Fire Cases'!$B$17</x:f>
        <x:v>12.38376990746496</x:v>
      </x:c>
      <x:c r="H14" s="92" t="str">
        <x:f>IF(ABS(A14-'Detection Intercept'!$B$16)&lt;=15,"Near P90 intercept",IF(A14='Fire Cases'!$B$15,"Escape threshold",""))</x:f>
      </x:c>
    </x:row>
    <x:row r="15">
      <x:c r="A15" s="57"/>
      <x:c r="B15" s="57"/>
      <x:c r="C15" s="57"/>
      <x:c r="D15" s="57"/>
      <x:c r="E15" s="57"/>
      <x:c r="F15" s="57"/>
      <x:c r="G15" s="57"/>
      <x:c r="H15" s="57"/>
    </x:row>
    <x:row r="16">
      <x:c r="A16" s="57"/>
      <x:c r="B16" s="57"/>
      <x:c r="C16" s="57"/>
      <x:c r="D16" s="57"/>
      <x:c r="E16" s="57"/>
      <x:c r="F16" s="57"/>
      <x:c r="G16" s="57"/>
      <x:c r="H16" s="57"/>
    </x:row>
    <x:row r="17">
      <x:c r="A17" s="62" t="str">
        <x:v>Selected-time geometry</x:v>
      </x:c>
      <x:c r="B17" s="63"/>
      <x:c r="C17" s="63"/>
      <x:c r="D17" s="63"/>
      <x:c r="E17" s="64"/>
      <x:c r="F17" s="57"/>
      <x:c r="G17" s="57"/>
      <x:c r="H17" s="57"/>
    </x:row>
    <x:row r="18">
      <x:c r="A18" s="10" t="str">
        <x:v>Metric</x:v>
      </x:c>
      <x:c r="B18" s="11" t="str">
        <x:v>P50 intercept</x:v>
      </x:c>
      <x:c r="C18" s="11" t="str">
        <x:v>P90 intercept</x:v>
      </x:c>
      <x:c r="D18" s="11" t="str">
        <x:v>Escape threshold</x:v>
      </x:c>
      <x:c r="E18" s="12" t="str">
        <x:v>Unit</x:v>
      </x:c>
      <x:c r="F18" s="57"/>
      <x:c r="G18" s="57"/>
      <x:c r="H18" s="57"/>
    </x:row>
    <x:row r="19">
      <x:c r="A19" s="57" t="str">
        <x:v>Area</x:v>
      </x:c>
      <x:c r="B19" s="75" t="n">
        <x:f>PI()*('Fire Cases'!$B$13*'Detection Intercept'!$B$15/60)*('Fire Cases'!$B$13*'Detection Intercept'!$B$15/60/'Fire Cases'!$B$14)</x:f>
        <x:v>9.51101366717785</x:v>
      </x:c>
      <x:c r="C19" s="75" t="n">
        <x:f>PI()*('Fire Cases'!$B$13*'Detection Intercept'!$B$16/60)*('Fire Cases'!$B$13*'Detection Intercept'!$B$16/60/'Fire Cases'!$B$14)</x:f>
        <x:v>35.99569740248522</x:v>
      </x:c>
      <x:c r="D19" s="75" t="n">
        <x:f>PI()*('Fire Cases'!$B$13*'Fire Cases'!$B$15/60)*('Fire Cases'!$B$13*'Fire Cases'!$B$15/60/'Fire Cases'!$B$14)</x:f>
        <x:v>4.908738521234052</x:v>
      </x:c>
      <x:c r="E19" s="57" t="str">
        <x:v>km²</x:v>
      </x:c>
      <x:c r="F19" s="57"/>
      <x:c r="G19" s="57"/>
      <x:c r="H19" s="57"/>
    </x:row>
    <x:row r="20">
      <x:c r="A20" s="57" t="str">
        <x:v>Perimeter</x:v>
      </x:c>
      <x:c r="B20" s="75" t="n">
        <x:f>PI()*(3*(('Fire Cases'!$B$13*'Detection Intercept'!$B$15/60)+('Fire Cases'!$B$13*'Detection Intercept'!$B$15/60/'Fire Cases'!$B$14))-SQRT((3*('Fire Cases'!$B$13*'Detection Intercept'!$B$15/60)+('Fire Cases'!$B$13*'Detection Intercept'!$B$15/60/'Fire Cases'!$B$14))*(('Fire Cases'!$B$13*'Detection Intercept'!$B$15/60)+3*('Fire Cases'!$B$13*'Detection Intercept'!$B$15/60/'Fire Cases'!$B$14))))</x:f>
        <x:v>14.924484642717864</x:v>
      </x:c>
      <x:c r="C20" s="75" t="n">
        <x:f>PI()*(3*(('Fire Cases'!$B$13*'Detection Intercept'!$B$16/60)+('Fire Cases'!$B$13*'Detection Intercept'!$B$16/60/'Fire Cases'!$B$14))-SQRT((3*('Fire Cases'!$B$13*'Detection Intercept'!$B$16/60)+('Fire Cases'!$B$13*'Detection Intercept'!$B$16/60/'Fire Cases'!$B$14))*(('Fire Cases'!$B$13*'Detection Intercept'!$B$16/60)+3*('Fire Cases'!$B$13*'Detection Intercept'!$B$16/60/'Fire Cases'!$B$14))))</x:f>
        <x:v>29.03429176288914</x:v>
      </x:c>
      <x:c r="D20" s="75" t="n">
        <x:f>PI()*(3*(('Fire Cases'!$B$13*'Fire Cases'!$B$15/60)+('Fire Cases'!$B$13*'Fire Cases'!$B$15/60/'Fire Cases'!$B$14))-SQRT((3*('Fire Cases'!$B$13*'Fire Cases'!$B$15/60)+('Fire Cases'!$B$13*'Fire Cases'!$B$15/60/'Fire Cases'!$B$14))*(('Fire Cases'!$B$13*'Fire Cases'!$B$15/60)+3*('Fire Cases'!$B$13*'Fire Cases'!$B$15/60/'Fire Cases'!$B$14))))</x:f>
        <x:v>10.72187870776187</x:v>
      </x:c>
      <x:c r="E20" s="57" t="str">
        <x:v>km</x:v>
      </x:c>
      <x:c r="F20" s="57"/>
      <x:c r="G20" s="57"/>
      <x:c r="H20" s="57"/>
    </x:row>
    <x:row r="21">
      <x:c r="A21" s="57" t="str">
        <x:v>Required feature</x:v>
      </x:c>
      <x:c r="B21" s="75" t="n">
        <x:f>B20*'Controls'!$C$8*(1+'Fire Cases'!$B$16)</x:f>
        <x:v>26.117848124756257</x:v>
      </x:c>
      <x:c r="C21" s="75" t="n">
        <x:f>C20*'Controls'!$C$8*(1+'Fire Cases'!$B$16)</x:f>
        <x:v>50.810010585056</x:v>
      </x:c>
      <x:c r="D21" s="75" t="n">
        <x:f>D20*'Controls'!$C$8*(1+'Fire Cases'!$B$16)</x:f>
        <x:v>18.763287738583273</x:v>
      </x:c>
      <x:c r="E21" s="57" t="str">
        <x:v>km</x:v>
      </x:c>
      <x:c r="F21" s="57"/>
      <x:c r="G21" s="57"/>
      <x:c r="H21" s="57"/>
    </x:row>
    <x:row r="22">
      <x:c r="A22" s="57" t="str">
        <x:v>Post-intervention feature growth</x:v>
      </x:c>
      <x:c r="B22" s="75" t="n">
        <x:f>(B21/('Detection Intercept'!$B$15/60))*'Fire Cases'!$B$17</x:f>
        <x:v>12.383769907464961</x:v>
      </x:c>
      <x:c r="C22" s="75" t="n">
        <x:f>(C21/('Detection Intercept'!$B$16/60))*'Fire Cases'!$B$17</x:f>
        <x:v>12.383769907464957</x:v>
      </x:c>
      <x:c r="D22" s="75" t="n">
        <x:f>(D21/('Fire Cases'!$B$15/60))*'Fire Cases'!$B$17</x:f>
        <x:v>12.383769907464961</x:v>
      </x:c>
      <x:c r="E22" s="57" t="str">
        <x:v>km/h</x:v>
      </x:c>
      <x:c r="F22" s="57"/>
      <x:c r="G22" s="57"/>
      <x:c r="H22" s="57"/>
    </x:row>
    <x:row r="23">
      <x:c r="A23" s="57"/>
      <x:c r="B23" s="57"/>
      <x:c r="C23" s="57"/>
      <x:c r="D23" s="57"/>
      <x:c r="E23" s="57"/>
      <x:c r="F23" s="57"/>
      <x:c r="G23" s="57"/>
      <x:c r="H23" s="57"/>
    </x:row>
    <x:row r="24">
      <x:c r="A24" s="57"/>
      <x:c r="B24" s="57"/>
      <x:c r="C24" s="57"/>
      <x:c r="D24" s="57"/>
      <x:c r="E24" s="57"/>
      <x:c r="F24" s="57"/>
      <x:c r="G24" s="57"/>
      <x:c r="H24" s="57"/>
    </x:row>
    <x:row r="25">
      <x:c r="A25" s="125" t="str">
        <x:v>Assumption</x:v>
      </x:c>
      <x:c r="B25" s="125" t="str">
        <x:v>Ellipse semi-major axis equals head ROS times elapsed time; semi-minor equals semi-major divided by length:breadth. Constant ROS makes perimeter growth linear in time.</x:v>
      </x:c>
      <x:c r="C25" s="125"/>
      <x:c r="D25" s="125"/>
      <x:c r="E25" s="125"/>
      <x:c r="F25" s="125"/>
      <x:c r="G25" s="125"/>
      <x:c r="H25" s="125"/>
    </x:row>
    <x:row r="26">
      <x:c r="A26" s="125" t="str">
        <x:v>Use</x:v>
      </x:c>
      <x:c r="B26" s="125" t="str">
        <x:v>The closure calculation uses P90 geometry and post-intervention feature growth. Replace with ensemble fire-behavior outputs before R3.</x:v>
      </x:c>
      <x:c r="C26" s="125"/>
      <x:c r="D26" s="125"/>
      <x:c r="E26" s="125"/>
      <x:c r="F26" s="125"/>
      <x:c r="G26" s="125"/>
      <x:c r="H26" s="125"/>
    </x:row>
  </x:sheetData>
  <x:mergeCells>
    <x:mergeCell ref="B25:H25"/>
    <x:mergeCell ref="B26:H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5" hidden="0" customWidth="1"/>
    <x:col min="4" max="4" width="13" hidden="0" customWidth="1"/>
    <x:col min="5" max="5" width="19" hidden="0" customWidth="1"/>
    <x:col min="6" max="6" width="18" hidden="0" customWidth="1"/>
    <x:col min="7" max="7" width="20" hidden="0" customWidth="1"/>
    <x:col min="8" max="8" width="15" hidden="0" customWidth="1"/>
    <x:col min="9" max="9" width="20" hidden="0" customWidth="1"/>
    <x:col min="10" max="10" width="20" hidden="0" customWidth="1"/>
    <x:col min="11" max="11" width="13" hidden="0" customWidth="1"/>
    <x:col min="12" max="12" width="15" hidden="0" customWidth="1"/>
    <x:col min="13" max="13" width="16" hidden="0" customWidth="1"/>
    <x:col min="14" max="14" width="22" hidden="0" customWidth="1"/>
  </x:cols>
  <x:sheetData>
    <x:row r="1">
      <x:c r="A1" s="121" t="str">
        <x:v>Purpose-built aircraft families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19" t="str">
        <x:v>Configuration hypotheses for mission-cycle comparison. Payload bands are informed by current categories; all clean-sheet performance and cost values remain assumptions.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</x:row>
    <x:row r="4">
      <x:c r="A4" s="10" t="str">
        <x:v>ID</x:v>
      </x:c>
      <x:c r="B4" s="11" t="str">
        <x:v>Mission</x:v>
      </x:c>
      <x:c r="C4" s="11" t="str">
        <x:v>Payload (gal)</x:v>
      </x:c>
      <x:c r="D4" s="11" t="str">
        <x:v>Cruise (kt)</x:v>
      </x:c>
      <x:c r="E4" s="11" t="str">
        <x:v>Load or scoop (min)</x:v>
      </x:c>
      <x:c r="F4" s="11" t="str">
        <x:v>Taxi/depart (min)</x:v>
      </x:c>
      <x:c r="G4" s="11" t="str">
        <x:v>Target/delivery (min)</x:v>
      </x:c>
      <x:c r="H4" s="11" t="str">
        <x:v>Recovery (min)</x:v>
      </x:c>
      <x:c r="I4" s="11" t="str">
        <x:v>Turn inspection (min)</x:v>
      </x:c>
      <x:c r="J4" s="11" t="str">
        <x:v>Dispatch availability</x:v>
      </x:c>
      <x:c r="K4" s="11" t="str">
        <x:v>Flight crew</x:v>
      </x:c>
      <x:c r="L4" s="11" t="str">
        <x:v>Unit mass (t)</x:v>
      </x:c>
      <x:c r="M4" s="11" t="str">
        <x:v>Unit cost ($M)</x:v>
      </x:c>
      <x:c r="N4" s="12" t="str">
        <x:v>Evidence class</x:v>
      </x:c>
    </x:row>
    <x:row r="5">
      <x:c r="A5" s="57" t="str">
        <x:v>FA-1</x:v>
      </x:c>
      <x:c r="B5" s="57" t="str">
        <x:v>Persistent sensing and relay</x:v>
      </x:c>
      <x:c r="C5" s="81" t="n">
        <x:v>0</x:v>
      </x:c>
      <x:c r="D5" s="81" t="n">
        <x:v>250</x:v>
      </x:c>
      <x:c r="E5" s="81" t="n">
        <x:v>0</x:v>
      </x:c>
      <x:c r="F5" s="81" t="n">
        <x:v>5</x:v>
      </x:c>
      <x:c r="G5" s="81" t="n">
        <x:v>0</x:v>
      </x:c>
      <x:c r="H5" s="81" t="n">
        <x:v>5</x:v>
      </x:c>
      <x:c r="I5" s="81" t="n">
        <x:v>10</x:v>
      </x:c>
      <x:c r="J5" s="60" t="n">
        <x:v>0.85</x:v>
      </x:c>
      <x:c r="K5" s="81" t="n">
        <x:v>2</x:v>
      </x:c>
      <x:c r="L5" s="81" t="n">
        <x:v>8</x:v>
      </x:c>
      <x:c r="M5" s="81" t="n">
        <x:v>50</x:v>
      </x:c>
      <x:c r="N5" s="57" t="str">
        <x:v>Design hypothesis</x:v>
      </x:c>
    </x:row>
    <x:row r="6">
      <x:c r="A6" s="57" t="str">
        <x:v>FA-2</x:v>
      </x:c>
      <x:c r="B6" s="57" t="str">
        <x:v>Rapid attack</x:v>
      </x:c>
      <x:c r="C6" s="81" t="n">
        <x:v>1500</x:v>
      </x:c>
      <x:c r="D6" s="81" t="n">
        <x:v>180</x:v>
      </x:c>
      <x:c r="E6" s="81" t="n">
        <x:v>8</x:v>
      </x:c>
      <x:c r="F6" s="81" t="n">
        <x:v>5</x:v>
      </x:c>
      <x:c r="G6" s="81" t="n">
        <x:v>6</x:v>
      </x:c>
      <x:c r="H6" s="81" t="n">
        <x:v>5</x:v>
      </x:c>
      <x:c r="I6" s="81" t="n">
        <x:v>12</x:v>
      </x:c>
      <x:c r="J6" s="60" t="n">
        <x:v>0.82</x:v>
      </x:c>
      <x:c r="K6" s="81" t="n">
        <x:v>2</x:v>
      </x:c>
      <x:c r="L6" s="81" t="n">
        <x:v>12</x:v>
      </x:c>
      <x:c r="M6" s="81" t="n">
        <x:v>60</x:v>
      </x:c>
      <x:c r="N6" s="57" t="str">
        <x:v>Design hypothesis</x:v>
      </x:c>
    </x:row>
    <x:row r="7">
      <x:c r="A7" s="57" t="str">
        <x:v>FA-3</x:v>
      </x:c>
      <x:c r="B7" s="57" t="str">
        <x:v>Regional amphibious suppression</x:v>
      </x:c>
      <x:c r="C7" s="81" t="n">
        <x:v>3500</x:v>
      </x:c>
      <x:c r="D7" s="81" t="n">
        <x:v>170</x:v>
      </x:c>
      <x:c r="E7" s="81" t="n">
        <x:v>4</x:v>
      </x:c>
      <x:c r="F7" s="81" t="n">
        <x:v>5</x:v>
      </x:c>
      <x:c r="G7" s="81" t="n">
        <x:v>8</x:v>
      </x:c>
      <x:c r="H7" s="81" t="n">
        <x:v>6</x:v>
      </x:c>
      <x:c r="I7" s="81" t="n">
        <x:v>15</x:v>
      </x:c>
      <x:c r="J7" s="60" t="n">
        <x:v>0.78</x:v>
      </x:c>
      <x:c r="K7" s="81" t="n">
        <x:v>2</x:v>
      </x:c>
      <x:c r="L7" s="81" t="n">
        <x:v>25</x:v>
      </x:c>
      <x:c r="M7" s="81" t="n">
        <x:v>100</x:v>
      </x:c>
      <x:c r="N7" s="57" t="str">
        <x:v>Design hypothesis</x:v>
      </x:c>
    </x:row>
    <x:row r="8">
      <x:c r="A8" s="57" t="str">
        <x:v>FA-4</x:v>
      </x:c>
      <x:c r="B8" s="57" t="str">
        <x:v>Heavy line building</x:v>
      </x:c>
      <x:c r="C8" s="81" t="n">
        <x:v>12000</x:v>
      </x:c>
      <x:c r="D8" s="81" t="n">
        <x:v>300</x:v>
      </x:c>
      <x:c r="E8" s="81" t="n">
        <x:v>18</x:v>
      </x:c>
      <x:c r="F8" s="81" t="n">
        <x:v>8</x:v>
      </x:c>
      <x:c r="G8" s="81" t="n">
        <x:v>10</x:v>
      </x:c>
      <x:c r="H8" s="81" t="n">
        <x:v>10</x:v>
      </x:c>
      <x:c r="I8" s="81" t="n">
        <x:v>25</x:v>
      </x:c>
      <x:c r="J8" s="60" t="n">
        <x:v>0.72</x:v>
      </x:c>
      <x:c r="K8" s="81" t="n">
        <x:v>3</x:v>
      </x:c>
      <x:c r="L8" s="81" t="n">
        <x:v>80</x:v>
      </x:c>
      <x:c r="M8" s="81" t="n">
        <x:v>250</x:v>
      </x:c>
      <x:c r="N8" s="57" t="str">
        <x:v>Design hypothesis</x:v>
      </x:c>
    </x:row>
    <x:row r="9">
      <x:c r="A9" s="57" t="str">
        <x:v>FA-5</x:v>
      </x:c>
      <x:c r="B9" s="57" t="str">
        <x:v>Precision vertical suppression</x:v>
      </x:c>
      <x:c r="C9" s="81" t="n">
        <x:v>2500</x:v>
      </x:c>
      <x:c r="D9" s="81" t="n">
        <x:v>130</x:v>
      </x:c>
      <x:c r="E9" s="81" t="n">
        <x:v>5</x:v>
      </x:c>
      <x:c r="F9" s="81" t="n">
        <x:v>4</x:v>
      </x:c>
      <x:c r="G9" s="81" t="n">
        <x:v>5</x:v>
      </x:c>
      <x:c r="H9" s="81" t="n">
        <x:v>5</x:v>
      </x:c>
      <x:c r="I9" s="81" t="n">
        <x:v>18</x:v>
      </x:c>
      <x:c r="J9" s="60" t="n">
        <x:v>0.74</x:v>
      </x:c>
      <x:c r="K9" s="81" t="n">
        <x:v>2</x:v>
      </x:c>
      <x:c r="L9" s="81" t="n">
        <x:v>18</x:v>
      </x:c>
      <x:c r="M9" s="81" t="n">
        <x:v>100</x:v>
      </x:c>
      <x:c r="N9" s="57" t="str">
        <x:v>Design hypothesis</x:v>
      </x:c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</x:row>
    <x:row r="12">
      <x:c r="A12" s="125" t="str">
        <x:v>Cycle rule</x:v>
      </x:c>
      <x:c r="B12" s="125" t="str">
        <x:v>Aircraft compete as aircraft–crew–base–airspace–water systems. A larger tank does not automatically create more controlled fire edge.</x:v>
      </x:c>
      <x:c r="C12" s="125"/>
      <x:c r="D12" s="125"/>
      <x:c r="E12" s="125"/>
      <x:c r="F12" s="125"/>
      <x:c r="G12" s="125"/>
      <x:c r="H12" s="125"/>
      <x:c r="I12" s="125"/>
      <x:c r="J12" s="125"/>
      <x:c r="K12" s="125"/>
      <x:c r="L12" s="125"/>
      <x:c r="M12" s="125"/>
      <x:c r="N12" s="125"/>
    </x:row>
    <x:row r="13">
      <x:c r="A13" s="125" t="str">
        <x:v>Fatigue rule</x:v>
      </x:c>
      <x:c r="B13" s="125" t="str">
        <x:v>No family passes R3 without a fire-specific load spectrum, full-scale fatigue evidence, structural health strategy and field-maintenance demonstration.</x:v>
      </x:c>
      <x:c r="C13" s="125"/>
      <x:c r="D13" s="125"/>
      <x:c r="E13" s="125"/>
      <x:c r="F13" s="125"/>
      <x:c r="G13" s="125"/>
      <x:c r="H13" s="125"/>
      <x:c r="I13" s="125"/>
      <x:c r="J13" s="125"/>
      <x:c r="K13" s="125"/>
      <x:c r="L13" s="125"/>
      <x:c r="M13" s="125"/>
      <x:c r="N13" s="125"/>
    </x:row>
    <x:row r="14">
      <x:c r="A14" s="125" t="str">
        <x:v>Cost rule</x:v>
      </x:c>
      <x:c r="B14" s="125" t="str">
        <x:v>Unit costs are round research assumptions excluding much of development, support, base, depot, training and operating cost. They are not independent estimates.</x:v>
      </x:c>
      <x:c r="C14" s="125"/>
      <x:c r="D14" s="125"/>
      <x:c r="E14" s="125"/>
      <x:c r="F14" s="125"/>
      <x:c r="G14" s="125"/>
      <x:c r="H14" s="125"/>
      <x:c r="I14" s="125"/>
      <x:c r="J14" s="125"/>
      <x:c r="K14" s="125"/>
      <x:c r="L14" s="125"/>
      <x:c r="M14" s="125"/>
      <x:c r="N14" s="125"/>
    </x:row>
  </x:sheetData>
  <x:mergeCells>
    <x:mergeCell ref="B12:N12"/>
    <x:mergeCell ref="B13:N13"/>
    <x:mergeCell ref="B14:N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13" hidden="0" customWidth="1"/>
    <x:col min="5" max="5" width="18" hidden="0" customWidth="1"/>
    <x:col min="6" max="6" width="18" hidden="0" customWidth="1"/>
    <x:col min="7" max="7" width="15" hidden="0" customWidth="1"/>
    <x:col min="8" max="8" width="20" hidden="0" customWidth="1"/>
    <x:col min="9" max="9" width="14" hidden="0" customWidth="1"/>
    <x:col min="10" max="10" width="15" hidden="0" customWidth="1"/>
    <x:col min="11" max="11" width="16" hidden="0" customWidth="1"/>
    <x:col min="12" max="12" width="14" hidden="0" customWidth="1"/>
    <x:col min="13" max="13" width="20" hidden="0" customWidth="1"/>
    <x:col min="14" max="14" width="20" hidden="0" customWidth="1"/>
    <x:col min="15" max="15" width="14" hidden="0" customWidth="1"/>
    <x:col min="16" max="16" width="24" hidden="0" customWidth="1"/>
  </x:cols>
  <x:sheetData>
    <x:row r="1">
      <x:c r="A1" s="121" t="str">
        <x:v>Aircraft mission-cycle capacity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</x:row>
    <x:row r="2">
      <x:c r="A2" s="119" t="str">
        <x:v>Unconstrained daily sorties before shared airspace, base and fluid limits. Expected sorties may be fractional because dispatch availability is probabilistic.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  <x:c r="O2" s="119"/>
      <x:c r="P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</x:row>
    <x:row r="4">
      <x:c r="A4" s="10" t="str">
        <x:v>ID</x:v>
      </x:c>
      <x:c r="B4" s="11" t="str">
        <x:v>Aircraft</x:v>
      </x:c>
      <x:c r="C4" s="11" t="str">
        <x:v>Distance (km)</x:v>
      </x:c>
      <x:c r="D4" s="11" t="str">
        <x:v>Cruise (kt)</x:v>
      </x:c>
      <x:c r="E4" s="11" t="str">
        <x:v>Load/scoop (min)</x:v>
      </x:c>
      <x:c r="F4" s="11" t="str">
        <x:v>Taxi/depart (min)</x:v>
      </x:c>
      <x:c r="G4" s="11" t="str">
        <x:v>Outbound (min)</x:v>
      </x:c>
      <x:c r="H4" s="11" t="str">
        <x:v>Target/delivery (min)</x:v>
      </x:c>
      <x:c r="I4" s="11" t="str">
        <x:v>Inbound (min)</x:v>
      </x:c>
      <x:c r="J4" s="11" t="str">
        <x:v>Recovery (min)</x:v>
      </x:c>
      <x:c r="K4" s="11" t="str">
        <x:v>Inspection (min)</x:v>
      </x:c>
      <x:c r="L4" s="11" t="str">
        <x:v>Cycle (min)</x:v>
      </x:c>
      <x:c r="M4" s="11" t="str">
        <x:v>Operating (min/day)</x:v>
      </x:c>
      <x:c r="N4" s="11" t="str">
        <x:v>Cycles/aircraft/day</x:v>
      </x:c>
      <x:c r="O4" s="11" t="str">
        <x:v>Availability</x:v>
      </x:c>
      <x:c r="P4" s="12" t="str">
        <x:v>Unconstrained sorties/day</x:v>
      </x:c>
    </x:row>
    <x:row r="5">
      <x:c r="A5" s="57" t="str">
        <x:v>FA-2</x:v>
      </x:c>
      <x:c r="B5" s="77" t="n">
        <x:f>'Controls'!$C$35</x:f>
        <x:v>24</x:v>
      </x:c>
      <x:c r="C5" s="85" t="n">
        <x:f>'Controls'!$C$31</x:f>
        <x:v>120</x:v>
      </x:c>
      <x:c r="D5" s="85" t="n">
        <x:f>'Aircraft Families'!$D$6</x:f>
        <x:v>180</x:v>
      </x:c>
      <x:c r="E5" s="85" t="n">
        <x:f>'Aircraft Families'!$E$6</x:f>
        <x:v>8</x:v>
      </x:c>
      <x:c r="F5" s="85" t="n">
        <x:f>'Aircraft Families'!$F$6</x:f>
        <x:v>5</x:v>
      </x:c>
      <x:c r="G5" s="85" t="n">
        <x:f>C5/(D5*1.852)*60</x:f>
        <x:v>21.598272138228943</x:v>
      </x:c>
      <x:c r="H5" s="85" t="n">
        <x:f>'Aircraft Families'!$G$6</x:f>
        <x:v>6</x:v>
      </x:c>
      <x:c r="I5" s="85" t="n">
        <x:f>G5</x:f>
        <x:v>21.598272138228943</x:v>
      </x:c>
      <x:c r="J5" s="85" t="n">
        <x:f>'Aircraft Families'!$H$6</x:f>
        <x:v>5</x:v>
      </x:c>
      <x:c r="K5" s="85" t="n">
        <x:f>'Aircraft Families'!$I$6</x:f>
        <x:v>12</x:v>
      </x:c>
      <x:c r="L5" s="85" t="n">
        <x:f>SUM(E5:K5)</x:f>
        <x:v>79.19654427645789</x:v>
      </x:c>
      <x:c r="M5" s="85" t="n">
        <x:f>'Controls'!$C$32*60</x:f>
        <x:v>1440</x:v>
      </x:c>
      <x:c r="N5" s="85" t="n">
        <x:f>INT(M5/L5)</x:f>
        <x:v>18</x:v>
      </x:c>
      <x:c r="O5" s="76" t="n">
        <x:f>'Aircraft Families'!$J$6</x:f>
        <x:v>0.82</x:v>
      </x:c>
      <x:c r="P5" s="65" t="n">
        <x:f>B5*N5*O5</x:f>
        <x:v>354.23999999999995</x:v>
      </x:c>
    </x:row>
    <x:row r="6">
      <x:c r="A6" s="57" t="str">
        <x:v>FA-3</x:v>
      </x:c>
      <x:c r="B6" s="77" t="n">
        <x:f>'Controls'!$C$36</x:f>
        <x:v>16</x:v>
      </x:c>
      <x:c r="C6" s="85" t="n">
        <x:f>'Controls'!$C$31</x:f>
        <x:v>120</x:v>
      </x:c>
      <x:c r="D6" s="85" t="n">
        <x:f>'Aircraft Families'!$D$7</x:f>
        <x:v>170</x:v>
      </x:c>
      <x:c r="E6" s="85" t="n">
        <x:f>'Aircraft Families'!$E$7</x:f>
        <x:v>4</x:v>
      </x:c>
      <x:c r="F6" s="85" t="n">
        <x:f>'Aircraft Families'!$F$7</x:f>
        <x:v>5</x:v>
      </x:c>
      <x:c r="G6" s="85" t="n">
        <x:f>C6/(D6*1.852)*60</x:f>
        <x:v>22.86875873459535</x:v>
      </x:c>
      <x:c r="H6" s="85" t="n">
        <x:f>'Aircraft Families'!$G$7</x:f>
        <x:v>8</x:v>
      </x:c>
      <x:c r="I6" s="85" t="n">
        <x:f>G6</x:f>
        <x:v>22.86875873459535</x:v>
      </x:c>
      <x:c r="J6" s="85" t="n">
        <x:f>'Aircraft Families'!$H$7</x:f>
        <x:v>6</x:v>
      </x:c>
      <x:c r="K6" s="85" t="n">
        <x:f>'Aircraft Families'!$I$7</x:f>
        <x:v>15</x:v>
      </x:c>
      <x:c r="L6" s="85" t="n">
        <x:f>SUM(E6:K6)</x:f>
        <x:v>83.73751746919069</x:v>
      </x:c>
      <x:c r="M6" s="85" t="n">
        <x:f>'Controls'!$C$32*60</x:f>
        <x:v>1440</x:v>
      </x:c>
      <x:c r="N6" s="85" t="n">
        <x:f>INT(M6/L6)</x:f>
        <x:v>17</x:v>
      </x:c>
      <x:c r="O6" s="76" t="n">
        <x:f>'Aircraft Families'!$J$7</x:f>
        <x:v>0.78</x:v>
      </x:c>
      <x:c r="P6" s="65" t="n">
        <x:f>B6*N6*O6</x:f>
        <x:v>212.16</x:v>
      </x:c>
    </x:row>
    <x:row r="7">
      <x:c r="A7" s="57" t="str">
        <x:v>FA-4</x:v>
      </x:c>
      <x:c r="B7" s="77" t="n">
        <x:f>'Controls'!$C$37</x:f>
        <x:v>12</x:v>
      </x:c>
      <x:c r="C7" s="85" t="n">
        <x:f>'Controls'!$C$31</x:f>
        <x:v>120</x:v>
      </x:c>
      <x:c r="D7" s="85" t="n">
        <x:f>'Aircraft Families'!$D$8</x:f>
        <x:v>300</x:v>
      </x:c>
      <x:c r="E7" s="85" t="n">
        <x:f>'Aircraft Families'!$E$8</x:f>
        <x:v>18</x:v>
      </x:c>
      <x:c r="F7" s="85" t="n">
        <x:f>'Aircraft Families'!$F$8</x:f>
        <x:v>8</x:v>
      </x:c>
      <x:c r="G7" s="85" t="n">
        <x:f>C7/(D7*1.852)*60</x:f>
        <x:v>12.958963282937365</x:v>
      </x:c>
      <x:c r="H7" s="85" t="n">
        <x:f>'Aircraft Families'!$G$8</x:f>
        <x:v>10</x:v>
      </x:c>
      <x:c r="I7" s="85" t="n">
        <x:f>G7</x:f>
        <x:v>12.958963282937365</x:v>
      </x:c>
      <x:c r="J7" s="85" t="n">
        <x:f>'Aircraft Families'!$H$8</x:f>
        <x:v>10</x:v>
      </x:c>
      <x:c r="K7" s="85" t="n">
        <x:f>'Aircraft Families'!$I$8</x:f>
        <x:v>25</x:v>
      </x:c>
      <x:c r="L7" s="85" t="n">
        <x:f>SUM(E7:K7)</x:f>
        <x:v>96.91792656587472</x:v>
      </x:c>
      <x:c r="M7" s="85" t="n">
        <x:f>'Controls'!$C$32*60</x:f>
        <x:v>1440</x:v>
      </x:c>
      <x:c r="N7" s="85" t="n">
        <x:f>INT(M7/L7)</x:f>
        <x:v>14</x:v>
      </x:c>
      <x:c r="O7" s="76" t="n">
        <x:f>'Aircraft Families'!$J$8</x:f>
        <x:v>0.72</x:v>
      </x:c>
      <x:c r="P7" s="65" t="n">
        <x:f>B7*N7*O7</x:f>
        <x:v>120.96</x:v>
      </x:c>
    </x:row>
    <x:row r="8">
      <x:c r="A8" s="57" t="str">
        <x:v>FA-5</x:v>
      </x:c>
      <x:c r="B8" s="77" t="n">
        <x:f>'Controls'!$C$38</x:f>
        <x:v>18</x:v>
      </x:c>
      <x:c r="C8" s="85" t="n">
        <x:f>'Controls'!$C$31</x:f>
        <x:v>120</x:v>
      </x:c>
      <x:c r="D8" s="85" t="n">
        <x:f>'Aircraft Families'!$D$9</x:f>
        <x:v>130</x:v>
      </x:c>
      <x:c r="E8" s="85" t="n">
        <x:f>'Aircraft Families'!$E$9</x:f>
        <x:v>5</x:v>
      </x:c>
      <x:c r="F8" s="85" t="n">
        <x:f>'Aircraft Families'!$F$9</x:f>
        <x:v>4</x:v>
      </x:c>
      <x:c r="G8" s="85" t="n">
        <x:f>C8/(D8*1.852)*60</x:f>
        <x:v>29.90529988370161</x:v>
      </x:c>
      <x:c r="H8" s="85" t="n">
        <x:f>'Aircraft Families'!$G$9</x:f>
        <x:v>5</x:v>
      </x:c>
      <x:c r="I8" s="85" t="n">
        <x:f>G8</x:f>
        <x:v>29.90529988370161</x:v>
      </x:c>
      <x:c r="J8" s="85" t="n">
        <x:f>'Aircraft Families'!$H$9</x:f>
        <x:v>5</x:v>
      </x:c>
      <x:c r="K8" s="85" t="n">
        <x:f>'Aircraft Families'!$I$9</x:f>
        <x:v>18</x:v>
      </x:c>
      <x:c r="L8" s="85" t="n">
        <x:f>SUM(E8:K8)</x:f>
        <x:v>96.81059976740322</x:v>
      </x:c>
      <x:c r="M8" s="85" t="n">
        <x:f>'Controls'!$C$32*60</x:f>
        <x:v>1440</x:v>
      </x:c>
      <x:c r="N8" s="85" t="n">
        <x:f>INT(M8/L8)</x:f>
        <x:v>14</x:v>
      </x:c>
      <x:c r="O8" s="76" t="n">
        <x:f>'Aircraft Families'!$J$9</x:f>
        <x:v>0.74</x:v>
      </x:c>
      <x:c r="P8" s="65" t="n">
        <x:f>B8*N8*O8</x:f>
        <x:v>186.48</x:v>
      </x:c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</x:row>
    <x:row r="11">
      <x:c r="A11" s="57" t="str">
        <x:v>Total unconstrained sorties</x:v>
      </x:c>
      <x:c r="B11" s="65" t="n">
        <x:f>SUM(P5:P8)</x:f>
        <x:v>873.84</x:v>
      </x:c>
      <x:c r="C11" s="57" t="str">
        <x:v>sorties/day</x:v>
      </x:c>
      <x:c r="D11" s="57" t="str">
        <x:v>Before shared constraints</x:v>
      </x:c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</x:row>
    <x:row r="14">
      <x:c r="A14" s="125" t="str">
        <x:v>Cycle boundary</x:v>
      </x:c>
      <x:c r="B14" s="125" t="str">
        <x:v>Cycle time includes load or scoop, taxi, transit, target work, recovery and turn inspection. Crew duty, weather and maintenance enter only through operating hours and availability.</x:v>
      </x:c>
      <x:c r="C14" s="125"/>
      <x:c r="D14" s="125"/>
      <x:c r="E14" s="125"/>
      <x:c r="F14" s="125"/>
      <x:c r="G14" s="125"/>
      <x:c r="H14" s="125"/>
      <x:c r="I14" s="125"/>
      <x:c r="J14" s="125"/>
      <x:c r="K14" s="125"/>
      <x:c r="L14" s="125"/>
      <x:c r="M14" s="125"/>
      <x:c r="N14" s="125"/>
      <x:c r="O14" s="125"/>
      <x:c r="P14" s="125"/>
    </x:row>
    <x:row r="15">
      <x:c r="A15" s="125" t="str">
        <x:v>Missing detail</x:v>
      </x:c>
      <x:c r="B15" s="125" t="str">
        <x:v>No routing, queue variability, reload-location choice, fuel endurance, reserve fuel or mission-abort probability is yet modeled.</x:v>
      </x:c>
      <x:c r="C15" s="125"/>
      <x:c r="D15" s="125"/>
      <x:c r="E15" s="125"/>
      <x:c r="F15" s="125"/>
      <x:c r="G15" s="125"/>
      <x:c r="H15" s="125"/>
      <x:c r="I15" s="125"/>
      <x:c r="J15" s="125"/>
      <x:c r="K15" s="125"/>
      <x:c r="L15" s="125"/>
      <x:c r="M15" s="125"/>
      <x:c r="N15" s="125"/>
      <x:c r="O15" s="125"/>
      <x:c r="P15" s="125"/>
    </x:row>
  </x:sheetData>
  <x:mergeCells>
    <x:mergeCell ref="B14:P14"/>
    <x:mergeCell ref="B15:P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17" hidden="0" customWidth="1"/>
    <x:col min="4" max="4" width="15" hidden="0" customWidth="1"/>
    <x:col min="5" max="5" width="15" hidden="0" customWidth="1"/>
    <x:col min="6" max="6" width="17" hidden="0" customWidth="1"/>
    <x:col min="7" max="7" width="16" hidden="0" customWidth="1"/>
    <x:col min="8" max="8" width="24" hidden="0" customWidth="1"/>
    <x:col min="9" max="9" width="22" hidden="0" customWidth="1"/>
    <x:col min="10" max="10" width="12" hidden="0" customWidth="1"/>
    <x:col min="11" max="11" width="23" hidden="0" customWidth="1"/>
    <x:col min="12" max="12" width="16" hidden="0" customWidth="1"/>
    <x:col min="13" max="13" width="17" hidden="0" customWidth="1"/>
    <x:col min="14" max="14" width="27" hidden="0" customWidth="1"/>
    <x:col min="15" max="15" width="18" hidden="0" customWidth="1"/>
    <x:col min="16" max="16" width="24" hidden="0" customWidth="1"/>
  </x:cols>
  <x:sheetData>
    <x:row r="1">
      <x:c r="A1" s="121" t="str">
        <x:v>Delivered aerial objective yield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</x:row>
    <x:row r="2">
      <x:c r="A2" s="119" t="str">
        <x:v>Effective sorties are constrained by aircraft cycles, airspace, base service and fluid throughput. Line values remain tactical proxies, not containment claims.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  <x:c r="O2" s="119"/>
      <x:c r="P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</x:row>
    <x:row r="4">
      <x:c r="A4" s="10" t="str">
        <x:v>ID</x:v>
      </x:c>
      <x:c r="B4" s="11" t="str">
        <x:v>Unconstrained sorties</x:v>
      </x:c>
      <x:c r="C4" s="11" t="str">
        <x:v>Airspace cap</x:v>
      </x:c>
      <x:c r="D4" s="11" t="str">
        <x:v>Base cap</x:v>
      </x:c>
      <x:c r="E4" s="11" t="str">
        <x:v>Fluid cap</x:v>
      </x:c>
      <x:c r="F4" s="11" t="str">
        <x:v>Effective sorties</x:v>
      </x:c>
      <x:c r="G4" s="11" t="str">
        <x:v>Payload (gal)</x:v>
      </x:c>
      <x:c r="H4" s="11" t="str">
        <x:v>Delivered volume (gal/day)</x:v>
      </x:c>
      <x:c r="I4" s="11" t="str">
        <x:v>Coverage (gal/100 ft²)</x:v>
      </x:c>
      <x:c r="J4" s="11" t="str">
        <x:v>Swath (ft)</x:v>
      </x:c>
      <x:c r="K4" s="11" t="str">
        <x:v>Theoretical line (km/day)</x:v>
      </x:c>
      <x:c r="L4" s="11" t="str">
        <x:v>Placement yield</x:v>
      </x:c>
      <x:c r="M4" s="11" t="str">
        <x:v>Interaction yield</x:v>
      </x:c>
      <x:c r="N4" s="11" t="str">
        <x:v>Behavior-change line (km/day)</x:v>
      </x:c>
      <x:c r="O4" s="11" t="str">
        <x:v>Ground completion</x:v>
      </x:c>
      <x:c r="P4" s="12" t="str">
        <x:v>Durable aerial line (km/day)</x:v>
      </x:c>
    </x:row>
    <x:row r="5">
      <x:c r="A5" s="57" t="str">
        <x:v>FA-2</x:v>
      </x:c>
      <x:c r="B5" s="65" t="n">
        <x:f>'Air Mission Cycle'!$P$5</x:f>
        <x:v>354.23999999999995</x:v>
      </x:c>
      <x:c r="C5" s="65" t="n">
        <x:f>'Airspace Capacity'!$F$12</x:f>
        <x:v>373.6010985992858</x:v>
      </x:c>
      <x:c r="D5" s="65" t="n">
        <x:f>'Air Base Throughput'!$G$5</x:f>
        <x:v>1520.64</x:v>
      </x:c>
      <x:c r="E5" s="65" t="n">
        <x:f>'Water Agent'!$J$12</x:f>
        <x:v>297.91099000908264</x:v>
      </x:c>
      <x:c r="F5" s="65" t="n">
        <x:f>MIN(B5:E5)</x:f>
        <x:v>297.91099000908264</x:v>
      </x:c>
      <x:c r="G5" s="65" t="n">
        <x:f>'Aircraft Families'!$C$6</x:f>
        <x:v>1500</x:v>
      </x:c>
      <x:c r="H5" s="65" t="n">
        <x:f>F5*G5</x:f>
        <x:v>446866.48501362395</x:v>
      </x:c>
      <x:c r="I5" s="103" t="n">
        <x:v>4</x:v>
      </x:c>
      <x:c r="J5" s="103" t="n">
        <x:v>60</x:v>
      </x:c>
      <x:c r="K5" s="104" t="n">
        <x:f>IF(I5*J5=0,0,F5*(100*G5/(I5*J5))*0.0003048)</x:f>
        <x:v>56.75204359673024</x:v>
      </x:c>
      <x:c r="L5" s="60" t="n">
        <x:v>0.82</x:v>
      </x:c>
      <x:c r="M5" s="60" t="n">
        <x:v>0.65</x:v>
      </x:c>
      <x:c r="N5" s="104" t="n">
        <x:f>K5*L5*M5</x:f>
        <x:v>30.24883923705722</x:v>
      </x:c>
      <x:c r="O5" s="60" t="n">
        <x:v>0.7</x:v>
      </x:c>
      <x:c r="P5" s="104" t="n">
        <x:f>N5*O5</x:f>
        <x:v>21.17418746594005</x:v>
      </x:c>
    </x:row>
    <x:row r="6">
      <x:c r="A6" s="57" t="str">
        <x:v>FA-3</x:v>
      </x:c>
      <x:c r="B6" s="65" t="n">
        <x:f>'Air Mission Cycle'!$P$6</x:f>
        <x:v>212.16</x:v>
      </x:c>
      <x:c r="C6" s="65" t="n">
        <x:f>'Airspace Capacity'!$F$13</x:f>
        <x:v>223.7556715188135</x:v>
      </x:c>
      <x:c r="D6" s="65" t="n">
        <x:f>'Air Base Throughput'!$G$6</x:f>
        <x:v>816</x:v>
      </x:c>
      <x:c r="E6" s="65" t="n">
        <x:f>'Water Agent'!$J$13</x:f>
        <x:v>212.16</x:v>
      </x:c>
      <x:c r="F6" s="65" t="n">
        <x:f>MIN(B6:E6)</x:f>
        <x:v>212.16</x:v>
      </x:c>
      <x:c r="G6" s="65" t="n">
        <x:f>'Aircraft Families'!$C$7</x:f>
        <x:v>3500</x:v>
      </x:c>
      <x:c r="H6" s="65" t="n">
        <x:f>F6*G6</x:f>
        <x:v>742560</x:v>
      </x:c>
      <x:c r="I6" s="103" t="n">
        <x:v>4</x:v>
      </x:c>
      <x:c r="J6" s="103" t="n">
        <x:v>80</x:v>
      </x:c>
      <x:c r="K6" s="104" t="n">
        <x:f>IF(I6*J6=0,0,F6*(100*G6/(I6*J6))*0.0003048)</x:f>
        <x:v>70.72883999999999</x:v>
      </x:c>
      <x:c r="L6" s="60" t="n">
        <x:v>0.75</x:v>
      </x:c>
      <x:c r="M6" s="60" t="n">
        <x:v>0.6</x:v>
      </x:c>
      <x:c r="N6" s="104" t="n">
        <x:f>K6*L6*M6</x:f>
        <x:v>31.827977999999995</x:v>
      </x:c>
      <x:c r="O6" s="60" t="n">
        <x:v>0.65</x:v>
      </x:c>
      <x:c r="P6" s="104" t="n">
        <x:f>N6*O6</x:f>
        <x:v>20.6881857</x:v>
      </x:c>
    </x:row>
    <x:row r="7">
      <x:c r="A7" s="57" t="str">
        <x:v>FA-4</x:v>
      </x:c>
      <x:c r="B7" s="65" t="n">
        <x:f>'Air Mission Cycle'!$P$7</x:f>
        <x:v>120.96</x:v>
      </x:c>
      <x:c r="C7" s="65" t="n">
        <x:f>'Airspace Capacity'!$F$14</x:f>
        <x:v>127.57110683878055</x:v>
      </x:c>
      <x:c r="D7" s="65" t="n">
        <x:f>'Air Base Throughput'!$G$7</x:f>
        <x:v>419.6571428571429</x:v>
      </x:c>
      <x:c r="E7" s="65" t="n">
        <x:f>'Water Agent'!$J$14</x:f>
        <x:v>101.72570390554041</x:v>
      </x:c>
      <x:c r="F7" s="65" t="n">
        <x:f>MIN(B7:E7)</x:f>
        <x:v>101.72570390554041</x:v>
      </x:c>
      <x:c r="G7" s="65" t="n">
        <x:f>'Aircraft Families'!$C$8</x:f>
        <x:v>12000</x:v>
      </x:c>
      <x:c r="H7" s="65" t="n">
        <x:f>F7*G7</x:f>
        <x:v>1220708.446866485</x:v>
      </x:c>
      <x:c r="I7" s="103" t="n">
        <x:v>6</x:v>
      </x:c>
      <x:c r="J7" s="103" t="n">
        <x:v>100</x:v>
      </x:c>
      <x:c r="K7" s="104" t="n">
        <x:f>IF(I7*J7=0,0,F7*(100*G7/(I7*J7))*0.0003048)</x:f>
        <x:v>62.01198910081744</x:v>
      </x:c>
      <x:c r="L7" s="60" t="n">
        <x:v>0.8</x:v>
      </x:c>
      <x:c r="M7" s="60" t="n">
        <x:v>0.7</x:v>
      </x:c>
      <x:c r="N7" s="104" t="n">
        <x:f>K7*L7*M7</x:f>
        <x:v>34.72671389645777</x:v>
      </x:c>
      <x:c r="O7" s="60" t="n">
        <x:v>0.8</x:v>
      </x:c>
      <x:c r="P7" s="104" t="n">
        <x:f>N7*O7</x:f>
        <x:v>27.781371117166216</x:v>
      </x:c>
    </x:row>
    <x:row r="8">
      <x:c r="A8" s="57" t="str">
        <x:v>FA-5</x:v>
      </x:c>
      <x:c r="B8" s="65" t="n">
        <x:f>'Air Mission Cycle'!$P$8</x:f>
        <x:v>186.48</x:v>
      </x:c>
      <x:c r="C8" s="65" t="n">
        <x:f>'Airspace Capacity'!$F$15</x:f>
        <x:v>196.67212304312002</x:v>
      </x:c>
      <x:c r="D8" s="65" t="n">
        <x:f>'Air Base Throughput'!$G$8</x:f>
        <x:v>1267.2</x:v>
      </x:c>
      <x:c r="E8" s="65" t="n">
        <x:f>'Water Agent'!$J$15</x:f>
        <x:v>186.48</x:v>
      </x:c>
      <x:c r="F8" s="65" t="n">
        <x:f>MIN(B8:E8)</x:f>
        <x:v>186.48</x:v>
      </x:c>
      <x:c r="G8" s="65" t="n">
        <x:f>'Aircraft Families'!$C$9</x:f>
        <x:v>2500</x:v>
      </x:c>
      <x:c r="H8" s="65" t="n">
        <x:f>F8*G8</x:f>
        <x:v>466200</x:v>
      </x:c>
      <x:c r="I8" s="103" t="n">
        <x:v>3</x:v>
      </x:c>
      <x:c r="J8" s="103" t="n">
        <x:v>50</x:v>
      </x:c>
      <x:c r="K8" s="104" t="n">
        <x:f>IF(I8*J8=0,0,F8*(100*G8/(I8*J8))*0.0003048)</x:f>
        <x:v>94.73183999999999</x:v>
      </x:c>
      <x:c r="L8" s="60" t="n">
        <x:v>0.85</x:v>
      </x:c>
      <x:c r="M8" s="60" t="n">
        <x:v>0.7</x:v>
      </x:c>
      <x:c r="N8" s="104" t="n">
        <x:f>K8*L8*M8</x:f>
        <x:v>56.365444799999985</x:v>
      </x:c>
      <x:c r="O8" s="60" t="n">
        <x:v>0.75</x:v>
      </x:c>
      <x:c r="P8" s="104" t="n">
        <x:f>N8*O8</x:f>
        <x:v>42.27408359999999</x:v>
      </x:c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</x:row>
    <x:row r="11">
      <x:c r="A11" s="10" t="str">
        <x:v>Total effective sorties</x:v>
      </x:c>
      <x:c r="B11" s="11" t="str">
        <x:v>Delivered volume</x:v>
      </x:c>
      <x:c r="C11" s="11" t="str">
        <x:v>Theoretical line</x:v>
      </x:c>
      <x:c r="D11" s="11" t="str">
        <x:v>Behavior-change line</x:v>
      </x:c>
      <x:c r="E11" s="11" t="str">
        <x:v>Durable aerial line</x:v>
      </x:c>
      <x:c r="F11" s="12" t="str">
        <x:v>Binding ratio</x:v>
      </x:c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</x:row>
    <x:row r="12">
      <x:c r="A12" s="104" t="n">
        <x:f>SUM(F5:F8)</x:f>
        <x:v>798.276693914623</x:v>
      </x:c>
      <x:c r="B12" s="104" t="n">
        <x:f>SUM(H5:H8)</x:f>
        <x:v>2876334.931880109</x:v>
      </x:c>
      <x:c r="C12" s="104" t="n">
        <x:f>SUM(K5:K8)</x:f>
        <x:v>284.22471269754766</x:v>
      </x:c>
      <x:c r="D12" s="104" t="n">
        <x:f>SUM(N5:N8)</x:f>
        <x:v>153.16897593351496</x:v>
      </x:c>
      <x:c r="E12" s="104" t="n">
        <x:f>SUM(P5:P8)</x:f>
        <x:v>111.91782788310624</x:v>
      </x:c>
      <x:c r="F12" s="76" t="n">
        <x:f>IF(SUM(B5:B8)=0,0,A12/SUM(B5:B8))</x:f>
        <x:v>0.9135272978058031</x:v>
      </x:c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</x:row>
    <x:row r="15">
      <x:c r="A15" s="125" t="str">
        <x:v>Geometry</x:v>
      </x:c>
      <x:c r="B15" s="125" t="str">
        <x:v>Theoretical line = 100 × payload / (coverage × swath), converted from feet to kilometres and multiplied by effective sorties.</x:v>
      </x:c>
      <x:c r="C15" s="125"/>
      <x:c r="D15" s="125"/>
      <x:c r="E15" s="125"/>
      <x:c r="F15" s="125"/>
      <x:c r="G15" s="125"/>
      <x:c r="H15" s="125"/>
      <x:c r="I15" s="125"/>
      <x:c r="J15" s="125"/>
      <x:c r="K15" s="125"/>
      <x:c r="L15" s="125"/>
      <x:c r="M15" s="125"/>
      <x:c r="N15" s="125"/>
      <x:c r="O15" s="125"/>
      <x:c r="P15" s="125"/>
    </x:row>
    <x:row r="16">
      <x:c r="A16" s="125" t="str">
        <x:v>Yield</x:v>
      </x:c>
      <x:c r="B16" s="125" t="str">
        <x:v>Placement, fire interaction and ground completion are separate assumptions so gallons cannot silently become durable line. Values require instrumented operational evidence.</x:v>
      </x:c>
      <x:c r="C16" s="125"/>
      <x:c r="D16" s="125"/>
      <x:c r="E16" s="125"/>
      <x:c r="F16" s="125"/>
      <x:c r="G16" s="125"/>
      <x:c r="H16" s="125"/>
      <x:c r="I16" s="125"/>
      <x:c r="J16" s="125"/>
      <x:c r="K16" s="125"/>
      <x:c r="L16" s="125"/>
      <x:c r="M16" s="125"/>
      <x:c r="N16" s="125"/>
      <x:c r="O16" s="125"/>
      <x:c r="P16" s="125"/>
    </x:row>
  </x:sheetData>
  <x:mergeCells>
    <x:mergeCell ref="B15:P15"/>
    <x:mergeCell ref="B16:P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6" hidden="0" customWidth="1"/>
    <x:col min="4" max="4" width="20" hidden="0" customWidth="1"/>
    <x:col min="5" max="5" width="22" hidden="0" customWidth="1"/>
    <x:col min="6" max="6" width="18" hidden="0" customWidth="1"/>
    <x:col min="7" max="7" width="16" hidden="0" customWidth="1"/>
  </x:cols>
  <x:sheetData>
    <x:row r="1">
      <x:c r="A1" s="121" t="str">
        <x:v>Mixed-airspace capacity</x:v>
      </x:c>
      <x:c r="B1" s="56"/>
      <x:c r="C1" s="56"/>
      <x:c r="D1" s="56"/>
      <x:c r="E1" s="56"/>
      <x:c r="F1" s="56"/>
      <x:c r="G1" s="56"/>
      <x:c r="H1" s="118"/>
    </x:row>
    <x:row r="2">
      <x:c r="A2" s="119" t="str">
        <x:v>Shared operational cap for crewed, remotely piloted and optionally piloted sorties. Sector service rate and reserve are editable assumptions.</x:v>
      </x:c>
      <x:c r="B2" s="119"/>
      <x:c r="C2" s="119"/>
      <x:c r="D2" s="119"/>
      <x:c r="E2" s="119"/>
      <x:c r="F2" s="119"/>
      <x:c r="G2" s="119"/>
      <x:c r="H2" s="119"/>
    </x:row>
    <x:row r="3">
      <x:c r="A3" s="57"/>
      <x:c r="B3" s="57"/>
      <x:c r="C3" s="57"/>
      <x:c r="D3" s="57"/>
      <x:c r="E3" s="57"/>
      <x:c r="F3" s="57"/>
      <x:c r="G3" s="57"/>
      <x:c r="H3" s="120"/>
    </x:row>
    <x:row r="4">
      <x:c r="A4" s="10" t="str">
        <x:v>Input</x:v>
      </x:c>
      <x:c r="B4" s="11" t="str">
        <x:v>Value</x:v>
      </x:c>
      <x:c r="C4" s="11" t="str">
        <x:v>Unit</x:v>
      </x:c>
      <x:c r="D4" s="11" t="str">
        <x:v>Basis</x:v>
      </x:c>
      <x:c r="E4" s="12" t="str">
        <x:v>Evidence class</x:v>
      </x:c>
      <x:c r="F4" s="57"/>
      <x:c r="G4" s="57"/>
      <x:c r="H4" s="120"/>
    </x:row>
    <x:row r="5">
      <x:c r="A5" s="57" t="str">
        <x:v>Airspace sectors</x:v>
      </x:c>
      <x:c r="B5" s="65" t="n">
        <x:f>'Controls'!$C$40</x:f>
        <x:v>4</x:v>
      </x:c>
      <x:c r="C5" s="57" t="str">
        <x:v>sectors</x:v>
      </x:c>
      <x:c r="D5" s="57" t="str">
        <x:v>Selected force package</x:v>
      </x:c>
      <x:c r="E5" s="57" t="str">
        <x:v>Calculated</x:v>
      </x:c>
      <x:c r="F5" s="57"/>
      <x:c r="G5" s="57"/>
      <x:c r="H5" s="120"/>
    </x:row>
    <x:row r="6">
      <x:c r="A6" s="57" t="str">
        <x:v>Service rate per sector</x:v>
      </x:c>
      <x:c r="B6" s="81" t="n">
        <x:v>12</x:v>
      </x:c>
      <x:c r="C6" s="57" t="str">
        <x:v>operations/hour</x:v>
      </x:c>
      <x:c r="D6" s="57" t="str">
        <x:v>Portable airspace node assumption</x:v>
      </x:c>
      <x:c r="E6" s="57" t="str">
        <x:v>Design assumption</x:v>
      </x:c>
      <x:c r="F6" s="57"/>
      <x:c r="G6" s="57"/>
      <x:c r="H6" s="120"/>
    </x:row>
    <x:row r="7">
      <x:c r="A7" s="57" t="str">
        <x:v>Operating period</x:v>
      </x:c>
      <x:c r="B7" s="65" t="n">
        <x:f>'Controls'!$C$32</x:f>
        <x:v>24</x:v>
      </x:c>
      <x:c r="C7" s="57" t="str">
        <x:v>hours/day</x:v>
      </x:c>
      <x:c r="D7" s="57" t="str">
        <x:v>Selected force package</x:v>
      </x:c>
      <x:c r="E7" s="57" t="str">
        <x:v>Calculated</x:v>
      </x:c>
      <x:c r="F7" s="57"/>
      <x:c r="G7" s="57"/>
      <x:c r="H7" s="120"/>
    </x:row>
    <x:row r="8">
      <x:c r="A8" s="57" t="str">
        <x:v>Safety and contingency reserve</x:v>
      </x:c>
      <x:c r="B8" s="60" t="n">
        <x:v>0.2</x:v>
      </x:c>
      <x:c r="C8" s="57" t="str">
        <x:v>% raw capacity</x:v>
      </x:c>
      <x:c r="D8" s="57" t="str">
        <x:v>Conflicts, holds and emergency volumes</x:v>
      </x:c>
      <x:c r="E8" s="57" t="str">
        <x:v>Design assumption</x:v>
      </x:c>
      <x:c r="F8" s="57"/>
      <x:c r="G8" s="57"/>
      <x:c r="H8" s="120"/>
    </x:row>
    <x:row r="9">
      <x:c r="A9" s="57"/>
      <x:c r="B9" s="57"/>
      <x:c r="C9" s="57"/>
      <x:c r="D9" s="57"/>
      <x:c r="E9" s="57"/>
      <x:c r="F9" s="57"/>
      <x:c r="G9" s="57"/>
      <x:c r="H9" s="120"/>
    </x:row>
    <x:row r="10">
      <x:c r="A10" s="57"/>
      <x:c r="B10" s="57"/>
      <x:c r="C10" s="57"/>
      <x:c r="D10" s="57"/>
      <x:c r="E10" s="57"/>
      <x:c r="F10" s="57"/>
      <x:c r="G10" s="57"/>
      <x:c r="H10" s="120"/>
    </x:row>
    <x:row r="11">
      <x:c r="A11" s="10" t="str">
        <x:v>ID</x:v>
      </x:c>
      <x:c r="B11" s="11" t="str">
        <x:v>Unconstrained sorties</x:v>
      </x:c>
      <x:c r="C11" s="11" t="str">
        <x:v>Demand share</x:v>
      </x:c>
      <x:c r="D11" s="11" t="str">
        <x:v>Raw total capacity</x:v>
      </x:c>
      <x:c r="E11" s="11" t="str">
        <x:v>Usable total capacity</x:v>
      </x:c>
      <x:c r="F11" s="11" t="str">
        <x:v>Allocated cap</x:v>
      </x:c>
      <x:c r="G11" s="12" t="str">
        <x:v>Utilization</x:v>
      </x:c>
      <x:c r="H11" s="120"/>
    </x:row>
    <x:row r="12">
      <x:c r="A12" s="57" t="str">
        <x:v>FA-2</x:v>
      </x:c>
      <x:c r="B12" s="65" t="n">
        <x:f>'Air Mission Cycle'!$P$5</x:f>
        <x:v>354.23999999999995</x:v>
      </x:c>
      <x:c r="C12" s="76" t="n">
        <x:f>IF(SUM($B$12:$B$15)=0,0,B12/SUM($B$12:$B$15))</x:f>
        <x:v>0.4053831365009612</x:v>
      </x:c>
      <x:c r="D12" s="65" t="n">
        <x:f>$B$5*$B$6*$B$7</x:f>
        <x:v>1152</x:v>
      </x:c>
      <x:c r="E12" s="65" t="n">
        <x:f>D12*(1-$B$8)</x:f>
        <x:v>921.6</x:v>
      </x:c>
      <x:c r="F12" s="65" t="n">
        <x:f>E12*C12</x:f>
        <x:v>373.6010985992858</x:v>
      </x:c>
      <x:c r="G12" s="76" t="n">
        <x:f>IF(F12=0,0,B12/F12)</x:f>
        <x:v>0.9481770833333334</x:v>
      </x:c>
      <x:c r="H12" s="120"/>
    </x:row>
    <x:row r="13">
      <x:c r="A13" s="57" t="str">
        <x:v>FA-3</x:v>
      </x:c>
      <x:c r="B13" s="65" t="n">
        <x:f>'Air Mission Cycle'!$P$6</x:f>
        <x:v>212.16</x:v>
      </x:c>
      <x:c r="C13" s="76" t="n">
        <x:f>IF(SUM($B$12:$B$15)=0,0,B13/SUM($B$12:$B$15))</x:f>
        <x:v>0.24279044218621257</x:v>
      </x:c>
      <x:c r="D13" s="65" t="n">
        <x:f>$B$5*$B$6*$B$7</x:f>
        <x:v>1152</x:v>
      </x:c>
      <x:c r="E13" s="65" t="n">
        <x:f>D12*(1-$B$8)</x:f>
        <x:v>921.6</x:v>
      </x:c>
      <x:c r="F13" s="65" t="n">
        <x:f>E13*C13</x:f>
        <x:v>223.7556715188135</x:v>
      </x:c>
      <x:c r="G13" s="76" t="n">
        <x:f>IF(F13=0,0,B13/F13)</x:f>
        <x:v>0.9481770833333334</x:v>
      </x:c>
      <x:c r="H13" s="120"/>
    </x:row>
    <x:row r="14">
      <x:c r="A14" s="57" t="str">
        <x:v>FA-4</x:v>
      </x:c>
      <x:c r="B14" s="65" t="n">
        <x:f>'Air Mission Cycle'!$P$7</x:f>
        <x:v>120.96</x:v>
      </x:c>
      <x:c r="C14" s="76" t="n">
        <x:f>IF(SUM($B$12:$B$15)=0,0,B14/SUM($B$12:$B$15))</x:f>
        <x:v>0.13842351002471848</x:v>
      </x:c>
      <x:c r="D14" s="65" t="n">
        <x:f>$B$5*$B$6*$B$7</x:f>
        <x:v>1152</x:v>
      </x:c>
      <x:c r="E14" s="65" t="n">
        <x:f>D12*(1-$B$8)</x:f>
        <x:v>921.6</x:v>
      </x:c>
      <x:c r="F14" s="65" t="n">
        <x:f>E14*C14</x:f>
        <x:v>127.57110683878055</x:v>
      </x:c>
      <x:c r="G14" s="76" t="n">
        <x:f>IF(F14=0,0,B14/F14)</x:f>
        <x:v>0.9481770833333333</x:v>
      </x:c>
      <x:c r="H14" s="120"/>
    </x:row>
    <x:row r="15">
      <x:c r="A15" s="57" t="str">
        <x:v>FA-5</x:v>
      </x:c>
      <x:c r="B15" s="65" t="n">
        <x:f>'Air Mission Cycle'!$P$8</x:f>
        <x:v>186.48</x:v>
      </x:c>
      <x:c r="C15" s="76" t="n">
        <x:f>IF(SUM($B$12:$B$15)=0,0,B15/SUM($B$12:$B$15))</x:f>
        <x:v>0.21340291128810765</x:v>
      </x:c>
      <x:c r="D15" s="65" t="n">
        <x:f>$B$5*$B$6*$B$7</x:f>
        <x:v>1152</x:v>
      </x:c>
      <x:c r="E15" s="65" t="n">
        <x:f>D12*(1-$B$8)</x:f>
        <x:v>921.6</x:v>
      </x:c>
      <x:c r="F15" s="65" t="n">
        <x:f>E15*C15</x:f>
        <x:v>196.67212304312002</x:v>
      </x:c>
      <x:c r="G15" s="76" t="n">
        <x:f>IF(F15=0,0,B15/F15)</x:f>
        <x:v>0.9481770833333333</x:v>
      </x:c>
      <x:c r="H15" s="120"/>
    </x:row>
    <x:row r="16">
      <x:c r="A16" s="57"/>
      <x:c r="B16" s="57"/>
      <x:c r="C16" s="57"/>
      <x:c r="D16" s="57"/>
      <x:c r="E16" s="57"/>
      <x:c r="F16" s="57"/>
      <x:c r="G16" s="57"/>
      <x:c r="H16" s="120"/>
    </x:row>
    <x:row r="17">
      <x:c r="A17" s="57"/>
      <x:c r="B17" s="57"/>
      <x:c r="C17" s="57"/>
      <x:c r="D17" s="57"/>
      <x:c r="E17" s="57"/>
      <x:c r="F17" s="57"/>
      <x:c r="G17" s="57"/>
      <x:c r="H17" s="120"/>
    </x:row>
    <x:row r="18">
      <x:c r="A18" s="10" t="str">
        <x:v>Total demand</x:v>
      </x:c>
      <x:c r="B18" s="11" t="str">
        <x:v>Total usable capacity</x:v>
      </x:c>
      <x:c r="C18" s="11" t="str">
        <x:v>System utilization</x:v>
      </x:c>
      <x:c r="D18" s="12" t="str">
        <x:v>Constraint</x:v>
      </x:c>
      <x:c r="E18" s="57"/>
      <x:c r="F18" s="57"/>
      <x:c r="G18" s="57"/>
      <x:c r="H18" s="120"/>
    </x:row>
    <x:row r="19">
      <x:c r="A19" s="65" t="n">
        <x:f>SUM(B12:B15)</x:f>
        <x:v>873.84</x:v>
      </x:c>
      <x:c r="B19" s="65" t="n">
        <x:f>E12</x:f>
        <x:v>921.6</x:v>
      </x:c>
      <x:c r="C19" s="76" t="n">
        <x:f>IF(B19=0,0,A19/B19)</x:f>
        <x:v>0.9481770833333334</x:v>
      </x:c>
      <x:c r="D19" s="92" t="str">
        <x:f>IF(C19&gt;1,"Airspace binding","Airspace available")</x:f>
        <x:v>Airspace available</x:v>
      </x:c>
      <x:c r="E19" s="57"/>
      <x:c r="F19" s="57"/>
      <x:c r="G19" s="57"/>
      <x:c r="H19" s="120"/>
    </x:row>
    <x:row r="20">
      <x:c r="A20" s="57"/>
      <x:c r="B20" s="57"/>
      <x:c r="C20" s="57"/>
      <x:c r="D20" s="57"/>
      <x:c r="E20" s="57"/>
      <x:c r="F20" s="57"/>
      <x:c r="G20" s="57"/>
      <x:c r="H20" s="120"/>
    </x:row>
    <x:row r="21">
      <x:c r="A21" s="57"/>
      <x:c r="B21" s="57"/>
      <x:c r="C21" s="57"/>
      <x:c r="D21" s="57"/>
      <x:c r="E21" s="57"/>
      <x:c r="F21" s="57"/>
      <x:c r="G21" s="57"/>
      <x:c r="H21" s="120"/>
    </x:row>
    <x:row r="22">
      <x:c r="A22" s="125" t="str">
        <x:v>Allocation rule</x:v>
      </x:c>
      <x:c r="B22" s="125" t="str">
        <x:v>Usable operations are allocated in proportion to unconstrained sortie demand. Tactical priority and route/altitude conflicts are not represented.</x:v>
      </x:c>
      <x:c r="C22" s="125"/>
      <x:c r="D22" s="125"/>
      <x:c r="E22" s="125"/>
      <x:c r="F22" s="125"/>
      <x:c r="G22" s="125"/>
      <x:c r="H22" s="120"/>
    </x:row>
    <x:row r="23">
      <x:c r="A23" s="125" t="str">
        <x:v>Research need</x:v>
      </x:c>
      <x:c r="B23" s="125" t="str">
        <x:v>Validate service rates, conflict distributions, communication loss and human workload in representative mixed day/night operations.</x:v>
      </x:c>
      <x:c r="C23" s="125"/>
      <x:c r="D23" s="125"/>
      <x:c r="E23" s="125"/>
      <x:c r="F23" s="125"/>
      <x:c r="G23" s="125"/>
      <x:c r="H23" s="120"/>
    </x:row>
  </x:sheetData>
  <x:mergeCells>
    <x:mergeCell ref="B22:G22"/>
    <x:mergeCell ref="B23:G23"/>
  </x:mergeCells>
  <x:conditionalFormatting sqref="G12:G15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19" hidden="0" customWidth="1"/>
    <x:col min="5" max="5" width="18" hidden="0" customWidth="1"/>
    <x:col min="6" max="6" width="17" hidden="0" customWidth="1"/>
    <x:col min="7" max="7" width="22" hidden="0" customWidth="1"/>
    <x:col min="8" max="8" width="22" hidden="0" customWidth="1"/>
    <x:col min="9" max="9" width="15" hidden="0" customWidth="1"/>
    <x:col min="10" max="10" width="22" hidden="0" customWidth="1"/>
  </x:cols>
  <x:sheetData>
    <x:row r="1">
      <x:c r="A1" s="121" t="str">
        <x:v>Fire aviation base throughput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>
      <x:c r="A2" s="119" t="str">
        <x:v>Deterministic loading and service screen. Queue variability, mixed-ramp interference and base failure are exposed as R3 work.</x:v>
      </x:c>
      <x:c r="B2" s="119"/>
      <x:c r="C2" s="119"/>
      <x:c r="D2" s="119"/>
      <x:c r="E2" s="119"/>
      <x:c r="F2" s="119"/>
      <x:c r="G2" s="119"/>
      <x:c r="H2" s="119"/>
      <x:c r="I2" s="119"/>
      <x:c r="J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</x:row>
    <x:row r="4">
      <x:c r="A4" s="10" t="str">
        <x:v>ID</x:v>
      </x:c>
      <x:c r="B4" s="11" t="str">
        <x:v>Bases</x:v>
      </x:c>
      <x:c r="C4" s="11" t="str">
        <x:v>Service positions/base</x:v>
      </x:c>
      <x:c r="D4" s="11" t="str">
        <x:v>Service time (min)</x:v>
      </x:c>
      <x:c r="E4" s="11" t="str">
        <x:v>Operating (h/day)</x:v>
      </x:c>
      <x:c r="F4" s="11" t="str">
        <x:v>Base availability</x:v>
      </x:c>
      <x:c r="G4" s="11" t="str">
        <x:v>Capacity (sorties/day)</x:v>
      </x:c>
      <x:c r="H4" s="11" t="str">
        <x:v>Unconstrained demand</x:v>
      </x:c>
      <x:c r="I4" s="11" t="str">
        <x:v>Utilization</x:v>
      </x:c>
      <x:c r="J4" s="12" t="str">
        <x:v>Evidence class</x:v>
      </x:c>
    </x:row>
    <x:row r="5">
      <x:c r="A5" s="57" t="str">
        <x:v>FA-2</x:v>
      </x:c>
      <x:c r="B5" s="65" t="n">
        <x:f>'Controls'!$C$39</x:f>
        <x:v>6</x:v>
      </x:c>
      <x:c r="C5" s="81" t="n">
        <x:v>4</x:v>
      </x:c>
      <x:c r="D5" s="81" t="n">
        <x:v>20</x:v>
      </x:c>
      <x:c r="E5" s="65" t="n">
        <x:f>'Controls'!$C$32</x:f>
        <x:v>24</x:v>
      </x:c>
      <x:c r="F5" s="60" t="n">
        <x:v>0.88</x:v>
      </x:c>
      <x:c r="G5" s="65" t="n">
        <x:f>B5*C5*60/D5*E5*F5</x:f>
        <x:v>1520.64</x:v>
      </x:c>
      <x:c r="H5" s="65" t="n">
        <x:f>'Air Mission Cycle'!$P$5</x:f>
        <x:v>354.23999999999995</x:v>
      </x:c>
      <x:c r="I5" s="76" t="n">
        <x:f>IF(G5=0,0,H5/G5)</x:f>
        <x:v>0.23295454545454541</x:v>
      </x:c>
      <x:c r="J5" s="57" t="str">
        <x:v>Design assumption</x:v>
      </x:c>
    </x:row>
    <x:row r="6">
      <x:c r="A6" s="57" t="str">
        <x:v>FA-3</x:v>
      </x:c>
      <x:c r="B6" s="65" t="n">
        <x:f>'Controls'!$C$39</x:f>
        <x:v>6</x:v>
      </x:c>
      <x:c r="C6" s="81" t="n">
        <x:v>2</x:v>
      </x:c>
      <x:c r="D6" s="81" t="n">
        <x:v>18</x:v>
      </x:c>
      <x:c r="E6" s="96" t="n">
        <x:f>'Controls'!$C$32</x:f>
        <x:v>24</x:v>
      </x:c>
      <x:c r="F6" s="60" t="n">
        <x:v>0.85</x:v>
      </x:c>
      <x:c r="G6" s="65" t="n">
        <x:f>B6*C6*60/D6*E6*F6</x:f>
        <x:v>816</x:v>
      </x:c>
      <x:c r="H6" s="65" t="n">
        <x:f>'Air Mission Cycle'!$P$6</x:f>
        <x:v>212.16</x:v>
      </x:c>
      <x:c r="I6" s="76" t="n">
        <x:f>IF(G6=0,0,H6/G6)</x:f>
        <x:v>0.26</x:v>
      </x:c>
      <x:c r="J6" s="57" t="str">
        <x:v>Design assumption</x:v>
      </x:c>
    </x:row>
    <x:row r="7">
      <x:c r="A7" s="57" t="str">
        <x:v>FA-4</x:v>
      </x:c>
      <x:c r="B7" s="65" t="n">
        <x:f>'Controls'!$C$39</x:f>
        <x:v>6</x:v>
      </x:c>
      <x:c r="C7" s="81" t="n">
        <x:v>2</x:v>
      </x:c>
      <x:c r="D7" s="81" t="n">
        <x:v>35</x:v>
      </x:c>
      <x:c r="E7" s="96" t="n">
        <x:f>'Controls'!$C$32</x:f>
        <x:v>24</x:v>
      </x:c>
      <x:c r="F7" s="60" t="n">
        <x:v>0.85</x:v>
      </x:c>
      <x:c r="G7" s="65" t="n">
        <x:f>B7*C7*60/D7*E7*F7</x:f>
        <x:v>419.6571428571429</x:v>
      </x:c>
      <x:c r="H7" s="65" t="n">
        <x:f>'Air Mission Cycle'!$P$7</x:f>
        <x:v>120.96</x:v>
      </x:c>
      <x:c r="I7" s="76" t="n">
        <x:f>IF(G7=0,0,H7/G7)</x:f>
        <x:v>0.28823529411764703</x:v>
      </x:c>
      <x:c r="J7" s="57" t="str">
        <x:v>Design assumption</x:v>
      </x:c>
    </x:row>
    <x:row r="8">
      <x:c r="A8" s="57" t="str">
        <x:v>FA-5</x:v>
      </x:c>
      <x:c r="B8" s="65" t="n">
        <x:f>'Controls'!$C$39</x:f>
        <x:v>6</x:v>
      </x:c>
      <x:c r="C8" s="81" t="n">
        <x:v>3</x:v>
      </x:c>
      <x:c r="D8" s="81" t="n">
        <x:v>18</x:v>
      </x:c>
      <x:c r="E8" s="96" t="n">
        <x:f>'Controls'!$C$32</x:f>
        <x:v>24</x:v>
      </x:c>
      <x:c r="F8" s="60" t="n">
        <x:v>0.88</x:v>
      </x:c>
      <x:c r="G8" s="65" t="n">
        <x:f>B8*C8*60/D8*E8*F8</x:f>
        <x:v>1267.2</x:v>
      </x:c>
      <x:c r="H8" s="65" t="n">
        <x:f>'Air Mission Cycle'!$P$8</x:f>
        <x:v>186.48</x:v>
      </x:c>
      <x:c r="I8" s="76" t="n">
        <x:f>IF(G8=0,0,H8/G8)</x:f>
        <x:v>0.1471590909090909</x:v>
      </x:c>
      <x:c r="J8" s="57" t="str">
        <x:v>Design assumption</x:v>
      </x:c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</x:row>
    <x:row r="11">
      <x:c r="A11" s="62" t="str">
        <x:v>System base result</x:v>
      </x:c>
      <x:c r="B11" s="63"/>
      <x:c r="C11" s="63"/>
      <x:c r="D11" s="63"/>
      <x:c r="E11" s="64"/>
      <x:c r="F11" s="57"/>
      <x:c r="G11" s="57"/>
      <x:c r="H11" s="57"/>
      <x:c r="I11" s="57"/>
      <x:c r="J11" s="57"/>
    </x:row>
    <x:row r="12">
      <x:c r="A12" s="10" t="str">
        <x:v>Maximum family utilization</x:v>
      </x:c>
      <x:c r="B12" s="11" t="str">
        <x:v>Bottleneck family</x:v>
      </x:c>
      <x:c r="C12" s="11" t="str">
        <x:v>Base count</x:v>
      </x:c>
      <x:c r="D12" s="11" t="str">
        <x:v>Capacity rule</x:v>
      </x:c>
      <x:c r="E12" s="12" t="str">
        <x:v>Limit</x:v>
      </x:c>
      <x:c r="F12" s="57"/>
      <x:c r="G12" s="57"/>
      <x:c r="H12" s="57"/>
      <x:c r="I12" s="57"/>
      <x:c r="J12" s="57"/>
    </x:row>
    <x:row r="13">
      <x:c r="A13" s="76" t="n">
        <x:f>MAX(I5:I8)</x:f>
        <x:v>0.28823529411764703</x:v>
      </x:c>
      <x:c r="B13" s="92" t="str">
        <x:f>INDEX(A5:A8,MATCH(A13,I5:I8,0))</x:f>
        <x:v>FA-4</x:v>
      </x:c>
      <x:c r="C13" s="77" t="n">
        <x:f>'Controls'!$C$39</x:f>
        <x:v>6</x:v>
      </x:c>
      <x:c r="D13" s="92" t="str">
        <x:f>IF(A13&gt;1,"Base throughput binding","Base throughput available")</x:f>
        <x:v>Base throughput available</x:v>
      </x:c>
      <x:c r="E13" s="57" t="str">
        <x:v>No stochastic queue</x:v>
      </x:c>
      <x:c r="F13" s="57"/>
      <x:c r="G13" s="57"/>
      <x:c r="H13" s="57"/>
      <x:c r="I13" s="57"/>
      <x:c r="J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</x:row>
    <x:row r="16">
      <x:c r="A16" s="125" t="str">
        <x:v>Service-time boundary</x:v>
      </x:c>
      <x:c r="B16" s="125" t="str">
        <x:v>Service time combines loading, ground handling and position occupancy. Fuel, maintenance and agent-plant shared queues are simplified elsewhere.</x:v>
      </x:c>
      <x:c r="C16" s="125"/>
      <x:c r="D16" s="125"/>
      <x:c r="E16" s="125"/>
      <x:c r="F16" s="125"/>
      <x:c r="G16" s="125"/>
      <x:c r="H16" s="125"/>
      <x:c r="I16" s="125"/>
      <x:c r="J16" s="125"/>
    </x:row>
    <x:row r="17">
      <x:c r="A17" s="125" t="str">
        <x:v>Failure case</x:v>
      </x:c>
      <x:c r="B17" s="125" t="str">
        <x:v>Loss of one base must be tested by reducing the selected base count. The workbook does not automatically relocate aircraft or recalculate target distance.</x:v>
      </x:c>
      <x:c r="C17" s="125"/>
      <x:c r="D17" s="125"/>
      <x:c r="E17" s="125"/>
      <x:c r="F17" s="125"/>
      <x:c r="G17" s="125"/>
      <x:c r="H17" s="125"/>
      <x:c r="I17" s="125"/>
      <x:c r="J17" s="125"/>
    </x:row>
  </x:sheetData>
  <x:mergeCells>
    <x:mergeCell ref="B16:J16"/>
    <x:mergeCell ref="B17:J17"/>
  </x:mergeCells>
  <x:conditionalFormatting sqref="I5:I8">
    <x:cfRule type="cellIs" dxfId="1" priority="1" operator="greaterThan">
      <x:formula>1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3" hidden="0" customWidth="1"/>
    <x:col min="3" max="3" width="26" hidden="0" customWidth="1"/>
    <x:col min="4" max="4" width="14" hidden="0" customWidth="1"/>
    <x:col min="5" max="5" width="15" hidden="0" customWidth="1"/>
    <x:col min="6" max="6" width="18" hidden="0" customWidth="1"/>
    <x:col min="7" max="7" width="20" hidden="0" customWidth="1"/>
    <x:col min="8" max="8" width="20" hidden="0" customWidth="1"/>
    <x:col min="9" max="9" width="28" hidden="0" customWidth="1"/>
  </x:cols>
  <x:sheetData>
    <x:row r="1">
      <x:c r="A1" s="121" t="str">
        <x:v>Ground fireline production</x:v>
      </x:c>
      <x:c r="B1" s="56"/>
      <x:c r="C1" s="56"/>
      <x:c r="D1" s="56"/>
      <x:c r="E1" s="56"/>
      <x:c r="F1" s="56"/>
      <x:c r="G1" s="56"/>
      <x:c r="H1" s="56"/>
      <x:c r="I1" s="56"/>
    </x:row>
    <x:row r="2">
      <x:c r="A2" s="119" t="str">
        <x:v>Sustained production is represented as a distribution-sensitive screen by resource, fuel/terrain factor, operating period and availability.</x:v>
      </x:c>
      <x:c r="B2" s="119"/>
      <x:c r="C2" s="119"/>
      <x:c r="D2" s="119"/>
      <x:c r="E2" s="119"/>
      <x:c r="F2" s="119"/>
      <x:c r="G2" s="119"/>
      <x:c r="H2" s="119"/>
      <x:c r="I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</x:row>
    <x:row r="4">
      <x:c r="A4" s="10" t="str">
        <x:v>Resource</x:v>
      </x:c>
      <x:c r="B4" s="11" t="str">
        <x:v>Quantity</x:v>
      </x:c>
      <x:c r="C4" s="11" t="str">
        <x:v>Rate (chains/hour/unit)</x:v>
      </x:c>
      <x:c r="D4" s="11" t="str">
        <x:v>Hours/day</x:v>
      </x:c>
      <x:c r="E4" s="11" t="str">
        <x:v>Availability</x:v>
      </x:c>
      <x:c r="F4" s="11" t="str">
        <x:v>Fuel/terrain factor</x:v>
      </x:c>
      <x:c r="G4" s="11" t="str">
        <x:v>Raw line (km/day)</x:v>
      </x:c>
      <x:c r="H4" s="11" t="str">
        <x:v>People/unit/shift</x:v>
      </x:c>
      <x:c r="I4" s="12" t="str">
        <x:v>Evidence class</x:v>
      </x:c>
    </x:row>
    <x:row r="5">
      <x:c r="A5" s="57" t="str">
        <x:v>20-person hand crew</x:v>
      </x:c>
      <x:c r="B5" s="65" t="n">
        <x:f>'Controls'!$C$41</x:f>
        <x:v>48</x:v>
      </x:c>
      <x:c r="C5" s="81" t="n">
        <x:v>8</x:v>
      </x:c>
      <x:c r="D5" s="81" t="n">
        <x:v>12</x:v>
      </x:c>
      <x:c r="E5" s="60" t="n">
        <x:v>0.85</x:v>
      </x:c>
      <x:c r="F5" s="76" t="n">
        <x:f>IF('Controls'!$C$6="Grass rapid",1.2,IF('Controls'!$C$6="Timber moderate",1,0.75))</x:f>
        <x:v>0.75</x:v>
      </x:c>
      <x:c r="G5" s="104" t="n">
        <x:f>B5*C5*0.0201168*D5*E5*F5</x:f>
        <x:v>59.09511168</x:v>
      </x:c>
      <x:c r="H5" s="61" t="n">
        <x:v>20</x:v>
      </x:c>
      <x:c r="I5" s="57" t="str">
        <x:v>NWCG-bounded design assumption</x:v>
      </x:c>
    </x:row>
    <x:row r="6">
      <x:c r="A6" s="57" t="str">
        <x:v>Conventional dozer team</x:v>
      </x:c>
      <x:c r="B6" s="65" t="n">
        <x:f>ROUNDUP('Controls'!$C$41/2,0)</x:f>
        <x:v>24</x:v>
      </x:c>
      <x:c r="C6" s="81" t="n">
        <x:v>20</x:v>
      </x:c>
      <x:c r="D6" s="81" t="n">
        <x:f>'Controls'!$C$33</x:f>
        <x:v>20</x:v>
      </x:c>
      <x:c r="E6" s="60" t="n">
        <x:v>0.8</x:v>
      </x:c>
      <x:c r="F6" s="76" t="n">
        <x:f>F5</x:f>
        <x:v>0.75</x:v>
      </x:c>
      <x:c r="G6" s="104" t="n">
        <x:f>B6*C6*0.0201168*D6*E6*F6</x:f>
        <x:v>115.87276800000001</x:v>
      </x:c>
      <x:c r="H6" s="61" t="n">
        <x:v>4</x:v>
      </x:c>
      <x:c r="I6" s="57" t="str">
        <x:v>Design assumption</x:v>
      </x:c>
    </x:row>
    <x:row r="7">
      <x:c r="A7" s="57" t="str">
        <x:v>Optionally crewed robotic tractor</x:v>
      </x:c>
      <x:c r="B7" s="65" t="n">
        <x:f>'Controls'!$C$42</x:f>
        <x:v>72</x:v>
      </x:c>
      <x:c r="C7" s="81" t="n">
        <x:v>18</x:v>
      </x:c>
      <x:c r="D7" s="81" t="n">
        <x:f>'Controls'!$C$33</x:f>
        <x:v>20</x:v>
      </x:c>
      <x:c r="E7" s="60" t="n">
        <x:v>0.75</x:v>
      </x:c>
      <x:c r="F7" s="76" t="n">
        <x:f>F5</x:f>
        <x:v>0.75</x:v>
      </x:c>
      <x:c r="G7" s="104" t="n">
        <x:f>B7*C7*0.0201168*D7*E7*F7</x:f>
        <x:v>293.302944</x:v>
      </x:c>
      <x:c r="H7" s="61" t="n">
        <x:v>3</x:v>
      </x:c>
      <x:c r="I7" s="57" t="str">
        <x:v>Technology hypothesis</x:v>
      </x:c>
    </x:row>
    <x:row r="8">
      <x:c r="A8" s="57"/>
      <x:c r="B8" s="57"/>
      <x:c r="C8" s="57"/>
      <x:c r="D8" s="57"/>
      <x:c r="E8" s="57"/>
      <x:c r="F8" s="57"/>
      <x:c r="G8" s="57"/>
      <x:c r="H8" s="57"/>
      <x:c r="I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</x:row>
    <x:row r="10">
      <x:c r="A10" s="57" t="str">
        <x:v>Total raw line</x:v>
      </x:c>
      <x:c r="B10" s="104" t="n">
        <x:f>SUM(G5:G7)</x:f>
        <x:v>468.27082368000003</x:v>
      </x:c>
      <x:c r="C10" s="57" t="str">
        <x:v>km/day</x:v>
      </x:c>
      <x:c r="D10" s="57"/>
      <x:c r="E10" s="57"/>
      <x:c r="F10" s="57"/>
      <x:c r="G10" s="57"/>
      <x:c r="H10" s="57"/>
      <x:c r="I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</x:row>
    <x:row r="13">
      <x:c r="A13" s="125" t="str">
        <x:v>Source boundary</x:v>
      </x:c>
      <x:c r="B13" s="125" t="str">
        <x:v>Official production tables demonstrate wide variation by crew, fuel and work mode. The selected rates are editable planning values, not quoted universal rates.</x:v>
      </x:c>
      <x:c r="C13" s="125"/>
      <x:c r="D13" s="125"/>
      <x:c r="E13" s="125"/>
      <x:c r="F13" s="125"/>
      <x:c r="G13" s="125"/>
      <x:c r="H13" s="125"/>
      <x:c r="I13" s="125"/>
    </x:row>
    <x:row r="14">
      <x:c r="A14" s="125" t="str">
        <x:v>Robot boundary</x:v>
      </x:c>
      <x:c r="B14" s="125" t="str">
        <x:v>Robotic rate and availability are technology hypotheses. No operational field evidence is claimed.</x:v>
      </x:c>
      <x:c r="C14" s="125"/>
      <x:c r="D14" s="125"/>
      <x:c r="E14" s="125"/>
      <x:c r="F14" s="125"/>
      <x:c r="G14" s="125"/>
      <x:c r="H14" s="125"/>
      <x:c r="I14" s="125"/>
    </x:row>
    <x:row r="15">
      <x:c r="A15" s="125" t="str">
        <x:v>Conversion</x:v>
      </x:c>
      <x:c r="B15" s="125" t="str">
        <x:v>One chain equals 66 feet or 0.0201168 kilometres. Holding and verification are applied on the Line Hold sheet.</x:v>
      </x:c>
      <x:c r="C15" s="125"/>
      <x:c r="D15" s="125"/>
      <x:c r="E15" s="125"/>
      <x:c r="F15" s="125"/>
      <x:c r="G15" s="125"/>
      <x:c r="H15" s="125"/>
      <x:c r="I15" s="125"/>
    </x:row>
  </x:sheetData>
  <x:mergeCells>
    <x:mergeCell ref="B13:I13"/>
    <x:mergeCell ref="B14:I14"/>
    <x:mergeCell ref="B15:I1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14" hidden="0" customWidth="1"/>
    <x:col min="4" max="4" width="18" hidden="0" customWidth="1"/>
    <x:col min="5" max="5" width="14" hidden="0" customWidth="1"/>
    <x:col min="6" max="6" width="22" hidden="0" customWidth="1"/>
    <x:col min="7" max="7" width="22" hidden="0" customWidth="1"/>
    <x:col min="8" max="8" width="28" hidden="0" customWidth="1"/>
  </x:cols>
  <x:sheetData>
    <x:row r="1">
      <x:c r="A1" s="121" t="str">
        <x:v>Durable control-feature closure</x:v>
      </x:c>
      <x:c r="B1" s="56"/>
      <x:c r="C1" s="56"/>
      <x:c r="D1" s="56"/>
      <x:c r="E1" s="56"/>
      <x:c r="F1" s="56"/>
      <x:c r="G1" s="56"/>
      <x:c r="H1" s="56"/>
    </x:row>
    <x:row r="2">
      <x:c r="A2" s="119" t="str">
        <x:v>Nominal line is discounted for continuity, holding and verification. Closure compares effective production with continuing post-intervention feature growth.</x:v>
      </x:c>
      <x:c r="B2" s="119"/>
      <x:c r="C2" s="119"/>
      <x:c r="D2" s="119"/>
      <x:c r="E2" s="119"/>
      <x:c r="F2" s="119"/>
      <x:c r="G2" s="119"/>
      <x:c r="H2" s="119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10" t="str">
        <x:v>Source</x:v>
      </x:c>
      <x:c r="B4" s="11" t="str">
        <x:v>Raw or behavior-change line (km/day)</x:v>
      </x:c>
      <x:c r="C4" s="11" t="str">
        <x:v>Continuity</x:v>
      </x:c>
      <x:c r="D4" s="11" t="str">
        <x:v>Hold probability</x:v>
      </x:c>
      <x:c r="E4" s="11" t="str">
        <x:v>Verification</x:v>
      </x:c>
      <x:c r="F4" s="11" t="str">
        <x:v>Effective line (km/day)</x:v>
      </x:c>
      <x:c r="G4" s="11" t="str">
        <x:v>Share of effective line</x:v>
      </x:c>
      <x:c r="H4" s="12" t="str">
        <x:v>Evidence class</x:v>
      </x:c>
    </x:row>
    <x:row r="5">
      <x:c r="A5" s="57" t="str">
        <x:v>Hand crew</x:v>
      </x:c>
      <x:c r="B5" s="104" t="n">
        <x:f>'Ground Production'!$G$5</x:f>
        <x:v>59.09511168</x:v>
      </x:c>
      <x:c r="C5" s="60" t="n">
        <x:v>0.85</x:v>
      </x:c>
      <x:c r="D5" s="60" t="n">
        <x:v>0.75</x:v>
      </x:c>
      <x:c r="E5" s="60" t="n">
        <x:v>0.95</x:v>
      </x:c>
      <x:c r="F5" s="104" t="n">
        <x:f>B5*C5*D5*E5</x:f>
        <x:v>35.7894770112</x:v>
      </x:c>
      <x:c r="G5" s="76" t="n">
        <x:f>IF(SUM($F$5:$F$8)=0,0,F5/SUM($F$5:$F$8))</x:f>
        <x:v>0.08690922428018169</x:v>
      </x:c>
      <x:c r="H5" s="57" t="str">
        <x:v>Design assumption</x:v>
      </x:c>
    </x:row>
    <x:row r="6">
      <x:c r="A6" s="57" t="str">
        <x:v>Conventional dozer</x:v>
      </x:c>
      <x:c r="B6" s="104" t="n">
        <x:f>'Ground Production'!$G$6</x:f>
        <x:v>115.87276800000001</x:v>
      </x:c>
      <x:c r="C6" s="60" t="n">
        <x:v>0.9</x:v>
      </x:c>
      <x:c r="D6" s="60" t="n">
        <x:v>0.72</x:v>
      </x:c>
      <x:c r="E6" s="60" t="n">
        <x:v>0.92</x:v>
      </x:c>
      <x:c r="F6" s="104" t="n">
        <x:f>B6*C6*D6*E6</x:f>
        <x:v>69.07870937088</x:v>
      </x:c>
      <x:c r="G6" s="76" t="n">
        <x:f>IF(SUM($F$5:$F$8)=0,0,F6/SUM($F$5:$F$8))</x:f>
        <x:v>0.1677469900948967</x:v>
      </x:c>
      <x:c r="H6" s="57" t="str">
        <x:v>Design assumption</x:v>
      </x:c>
    </x:row>
    <x:row r="7">
      <x:c r="A7" s="57" t="str">
        <x:v>Robotic tractor</x:v>
      </x:c>
      <x:c r="B7" s="104" t="n">
        <x:f>'Ground Production'!$G$7</x:f>
        <x:v>293.302944</x:v>
      </x:c>
      <x:c r="C7" s="60" t="n">
        <x:v>0.92</x:v>
      </x:c>
      <x:c r="D7" s="60" t="n">
        <x:v>0.8</x:v>
      </x:c>
      <x:c r="E7" s="60" t="n">
        <x:v>0.95</x:v>
      </x:c>
      <x:c r="F7" s="104" t="n">
        <x:f>B7*C7*D7*E7</x:f>
        <x:v>205.07741844480003</x:v>
      </x:c>
      <x:c r="G7" s="76" t="n">
        <x:f>IF(SUM($F$5:$F$8)=0,0,F7/SUM($F$5:$F$8))</x:f>
        <x:v>0.49799887684422456</x:v>
      </x:c>
      <x:c r="H7" s="57" t="str">
        <x:v>Technology hypothesis</x:v>
      </x:c>
    </x:row>
    <x:row r="8">
      <x:c r="A8" s="57" t="str">
        <x:v>Aerial behavior-change line</x:v>
      </x:c>
      <x:c r="B8" s="104" t="n">
        <x:f>'Drop Yield'!$D$12</x:f>
        <x:v>153.16897593351496</x:v>
      </x:c>
      <x:c r="C8" s="60" t="n">
        <x:v>1</x:v>
      </x:c>
      <x:c r="D8" s="60" t="n">
        <x:v>0.7</x:v>
      </x:c>
      <x:c r="E8" s="60" t="n">
        <x:v>0.95</x:v>
      </x:c>
      <x:c r="F8" s="104" t="n">
        <x:f>B8*C8*D8*E8</x:f>
        <x:v>101.85736899578744</x:v>
      </x:c>
      <x:c r="G8" s="76" t="n">
        <x:f>IF(SUM($F$5:$F$8)=0,0,F8/SUM($F$5:$F$8))</x:f>
        <x:v>0.24734490878069695</x:v>
      </x:c>
      <x:c r="H8" s="57" t="str">
        <x:v>AFUE-informed design assumption</x:v>
      </x:c>
    </x:row>
    <x:row r="9">
      <x:c r="A9" s="57"/>
      <x:c r="B9" s="57"/>
      <x:c r="C9" s="57"/>
      <x:c r="D9" s="57"/>
      <x:c r="E9" s="57"/>
      <x:c r="F9" s="57"/>
      <x:c r="G9" s="57"/>
      <x:c r="H9" s="57"/>
    </x:row>
    <x:row r="10">
      <x:c r="A10" s="57"/>
      <x:c r="B10" s="57"/>
      <x:c r="C10" s="57"/>
      <x:c r="D10" s="57"/>
      <x:c r="E10" s="57"/>
      <x:c r="F10" s="57"/>
      <x:c r="G10" s="57"/>
      <x:c r="H10" s="57"/>
    </x:row>
    <x:row r="11">
      <x:c r="A11" s="62" t="str">
        <x:v>Closure screen</x:v>
      </x:c>
      <x:c r="B11" s="63"/>
      <x:c r="C11" s="63"/>
      <x:c r="D11" s="63"/>
      <x:c r="E11" s="64"/>
      <x:c r="F11" s="57"/>
      <x:c r="G11" s="57"/>
      <x:c r="H11" s="57"/>
    </x:row>
    <x:row r="12">
      <x:c r="A12" s="10" t="str">
        <x:v>Metric</x:v>
      </x:c>
      <x:c r="B12" s="11" t="str">
        <x:v>Value</x:v>
      </x:c>
      <x:c r="C12" s="11" t="str">
        <x:v>Unit</x:v>
      </x:c>
      <x:c r="D12" s="11" t="str">
        <x:v>Interpretation</x:v>
      </x:c>
      <x:c r="E12" s="12" t="str">
        <x:v>Limit</x:v>
      </x:c>
      <x:c r="F12" s="57"/>
      <x:c r="G12" s="57"/>
      <x:c r="H12" s="57"/>
    </x:row>
    <x:row r="13">
      <x:c r="A13" s="57" t="str">
        <x:v>P90 initial required feature</x:v>
      </x:c>
      <x:c r="B13" s="104" t="n">
        <x:f>'Fire Growth'!$C$21</x:f>
        <x:v>50.810010585056</x:v>
      </x:c>
      <x:c r="C13" s="57" t="str">
        <x:v>km</x:v>
      </x:c>
      <x:c r="D13" s="57" t="str">
        <x:v>Required geometry when tail response arrives</x:v>
      </x:c>
      <x:c r="E13" s="57" t="str">
        <x:v>Constant-rate ellipse</x:v>
      </x:c>
      <x:c r="F13" s="57"/>
      <x:c r="G13" s="57"/>
      <x:c r="H13" s="57"/>
    </x:row>
    <x:row r="14">
      <x:c r="A14" s="57" t="str">
        <x:v>Post-intervention feature growth</x:v>
      </x:c>
      <x:c r="B14" s="104" t="n">
        <x:f>'Fire Growth'!$C$22</x:f>
        <x:v>12.383769907464957</x:v>
      </x:c>
      <x:c r="C14" s="57" t="str">
        <x:v>km/h</x:v>
      </x:c>
      <x:c r="D14" s="57" t="str">
        <x:v>Continuing required-feature expansion</x:v>
      </x:c>
      <x:c r="E14" s="57" t="str">
        <x:v>Assumed behavior reduction</x:v>
      </x:c>
      <x:c r="F14" s="57"/>
      <x:c r="G14" s="57"/>
      <x:c r="H14" s="57"/>
    </x:row>
    <x:row r="15">
      <x:c r="A15" s="57" t="str">
        <x:v>Effective line production</x:v>
      </x:c>
      <x:c r="B15" s="104" t="n">
        <x:f>SUM(F5:F8)</x:f>
        <x:v>411.8029738226675</x:v>
      </x:c>
      <x:c r="C15" s="57" t="str">
        <x:v>km/day</x:v>
      </x:c>
      <x:c r="D15" s="57" t="str">
        <x:v>Completed, held and verified</x:v>
      </x:c>
      <x:c r="E15" s="57" t="str">
        <x:v>No spatial connectivity model</x:v>
      </x:c>
      <x:c r="F15" s="57"/>
      <x:c r="G15" s="57"/>
      <x:c r="H15" s="57"/>
    </x:row>
    <x:row r="16">
      <x:c r="A16" s="57" t="str">
        <x:v>Effective production rate</x:v>
      </x:c>
      <x:c r="B16" s="104" t="n">
        <x:f>B15/24</x:f>
        <x:v>17.158457242611146</x:v>
      </x:c>
      <x:c r="C16" s="57" t="str">
        <x:v>km/h</x:v>
      </x:c>
      <x:c r="D16" s="57" t="str">
        <x:v>Daily effect divided by 24</x:v>
      </x:c>
      <x:c r="E16" s="57" t="str">
        <x:v>Averages uneven work</x:v>
      </x:c>
      <x:c r="F16" s="57"/>
      <x:c r="G16" s="57"/>
      <x:c r="H16" s="57"/>
    </x:row>
    <x:row r="17">
      <x:c r="A17" s="57" t="str">
        <x:v>Closure margin</x:v>
      </x:c>
      <x:c r="B17" s="104" t="n">
        <x:f>B16-B14</x:f>
        <x:v>4.774687335146188</x:v>
      </x:c>
      <x:c r="C17" s="57" t="str">
        <x:v>km/h</x:v>
      </x:c>
      <x:c r="D17" s="57" t="str">
        <x:v>Production less feature growth</x:v>
      </x:c>
      <x:c r="E17" s="57" t="str">
        <x:v>Positive is necessary, not sufficient</x:v>
      </x:c>
      <x:c r="F17" s="57"/>
      <x:c r="G17" s="57"/>
      <x:c r="H17" s="57"/>
    </x:row>
    <x:row r="18">
      <x:c r="A18" s="57" t="str">
        <x:v>Modeled time to close</x:v>
      </x:c>
      <x:c r="B18" s="104" t="n">
        <x:f>IF(B17&lt;=0,"",B13/B17)</x:f>
        <x:v>10.641536716141923</x:v>
      </x:c>
      <x:c r="C18" s="57" t="str">
        <x:v>hours</x:v>
      </x:c>
      <x:c r="D18" s="57" t="str">
        <x:v>Initial feature divided by positive margin</x:v>
      </x:c>
      <x:c r="E18" s="57" t="str">
        <x:v>No feedback or tactical geometry</x:v>
      </x:c>
      <x:c r="F18" s="57"/>
      <x:c r="G18" s="57"/>
      <x:c r="H18" s="57"/>
    </x:row>
    <x:row r="19">
      <x:c r="A19" s="57" t="str">
        <x:v>Control potential</x:v>
      </x:c>
      <x:c r="B19" s="92" t="str">
        <x:f>IF(B17&gt;0,"Positive closure margin","Cannot close under assumptions")</x:f>
        <x:v>Positive closure margin</x:v>
      </x:c>
      <x:c r="C19" s="57" t="str">
        <x:v>state</x:v>
      </x:c>
      <x:c r="D19" s="57" t="str">
        <x:v>Rate-balance result</x:v>
      </x:c>
      <x:c r="E19" s="57" t="str">
        <x:v>Not an incident forecast</x:v>
      </x:c>
      <x:c r="F19" s="57"/>
      <x:c r="G19" s="57"/>
      <x:c r="H19" s="57"/>
    </x:row>
    <x:row r="20">
      <x:c r="A20" s="57" t="str">
        <x:v>Aerial share</x:v>
      </x:c>
      <x:c r="B20" s="76" t="n">
        <x:f>G8</x:f>
        <x:v>0.24734490878069695</x:v>
      </x:c>
      <x:c r="C20" s="57" t="str">
        <x:v>% effective line</x:v>
      </x:c>
      <x:c r="D20" s="57" t="str">
        <x:v>Dependence on aerial contribution</x:v>
      </x:c>
      <x:c r="E20" s="57" t="str">
        <x:v>Yield coefficients unverified</x:v>
      </x:c>
      <x:c r="F20" s="57"/>
      <x:c r="G20" s="57"/>
      <x:c r="H20" s="57"/>
    </x:row>
    <x:row r="21">
      <x:c r="A21" s="57"/>
      <x:c r="B21" s="57"/>
      <x:c r="C21" s="57"/>
      <x:c r="D21" s="57"/>
      <x:c r="E21" s="57"/>
      <x:c r="F21" s="57"/>
      <x:c r="G21" s="57"/>
      <x:c r="H21" s="57"/>
    </x:row>
    <x:row r="22">
      <x:c r="A22" s="57"/>
      <x:c r="B22" s="57"/>
      <x:c r="C22" s="57"/>
      <x:c r="D22" s="57"/>
      <x:c r="E22" s="57"/>
      <x:c r="F22" s="57"/>
      <x:c r="G22" s="57"/>
      <x:c r="H22" s="57"/>
    </x:row>
    <x:row r="23">
      <x:c r="A23" s="125" t="str">
        <x:v>Necessary condition</x:v>
      </x:c>
      <x:c r="B23" s="125" t="str">
        <x:v>A positive closure margin does not prove containment. Line must also be spatially connected, tactically placed, accessible, held against spotting and maintained through the decision horizon.</x:v>
      </x:c>
      <x:c r="C23" s="125"/>
      <x:c r="D23" s="125"/>
      <x:c r="E23" s="125"/>
      <x:c r="F23" s="125"/>
      <x:c r="G23" s="125"/>
      <x:c r="H23" s="125"/>
    </x:row>
    <x:row r="24">
      <x:c r="A24" s="125" t="str">
        <x:v>Aerial dependency</x:v>
      </x:c>
      <x:c r="B24" s="125" t="str">
        <x:v>Aerial line is first discounted by placement and fire interaction on Drop Yield, then by hold and verification here. Ground completion remains explicit.</x:v>
      </x:c>
      <x:c r="C24" s="125"/>
      <x:c r="D24" s="125"/>
      <x:c r="E24" s="125"/>
      <x:c r="F24" s="125"/>
      <x:c r="G24" s="125"/>
      <x:c r="H24" s="125"/>
    </x:row>
  </x:sheetData>
  <x:mergeCells>
    <x:mergeCell ref="B23:H23"/>
    <x:mergeCell ref="B24:H24"/>
  </x:mergeCells>
  <x:conditionalFormatting sqref="B17:B17">
    <x:cfRule type="cellIs" dxfId="2" priority="1" operator="lessThanOrEqual">
      <x:formula>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4" hidden="0" customWidth="1"/>
    <x:col min="4" max="4" width="28" hidden="0" customWidth="1"/>
    <x:col min="5" max="5" width="28" hidden="0" customWidth="1"/>
    <x:col min="6" max="6" width="20" hidden="0" customWidth="1"/>
    <x:col min="7" max="7" width="18" hidden="0" customWidth="1"/>
    <x:col min="8" max="8" width="30" hidden="0" customWidth="1"/>
  </x:cols>
  <x:sheetData>
    <x:row r="1">
      <x:c r="A1" s="121" t="str">
        <x:v>Robotic fireline system</x:v>
      </x:c>
      <x:c r="B1" s="56"/>
      <x:c r="C1" s="56"/>
      <x:c r="D1" s="56"/>
      <x:c r="E1" s="56"/>
      <x:c r="F1" s="56"/>
      <x:c r="G1" s="56"/>
      <x:c r="H1" s="56"/>
    </x:row>
    <x:row r="2">
      <x:c r="A2" s="119" t="str">
        <x:v>Optionally crewed machines displace hazardous exposure only when productivity, safe stop, communications loss and recovery are verified together.</x:v>
      </x:c>
      <x:c r="B2" s="119"/>
      <x:c r="C2" s="119"/>
      <x:c r="D2" s="119"/>
      <x:c r="E2" s="119"/>
      <x:c r="F2" s="119"/>
      <x:c r="G2" s="119"/>
      <x:c r="H2" s="119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10" t="str">
        <x:v>Metric</x:v>
      </x:c>
      <x:c r="B4" s="11" t="str">
        <x:v>Value</x:v>
      </x:c>
      <x:c r="C4" s="11" t="str">
        <x:v>Unit</x:v>
      </x:c>
      <x:c r="D4" s="11" t="str">
        <x:v>Calculation</x:v>
      </x:c>
      <x:c r="E4" s="12" t="str">
        <x:v>Evidence class</x:v>
      </x:c>
      <x:c r="F4" s="57"/>
      <x:c r="G4" s="57"/>
      <x:c r="H4" s="57"/>
    </x:row>
    <x:row r="5">
      <x:c r="A5" s="57" t="str">
        <x:v>Selected machines</x:v>
      </x:c>
      <x:c r="B5" s="65" t="n">
        <x:f>'Controls'!$C$42</x:f>
        <x:v>72</x:v>
      </x:c>
      <x:c r="C5" s="57" t="str">
        <x:v>tractors</x:v>
      </x:c>
      <x:c r="D5" s="57" t="str">
        <x:v>Package quantity</x:v>
      </x:c>
      <x:c r="E5" s="57" t="str">
        <x:v>Calculated</x:v>
      </x:c>
      <x:c r="F5" s="57"/>
      <x:c r="G5" s="57"/>
      <x:c r="H5" s="57"/>
    </x:row>
    <x:row r="6">
      <x:c r="A6" s="57" t="str">
        <x:v>Machine operating hours</x:v>
      </x:c>
      <x:c r="B6" s="65" t="n">
        <x:f>B5*'Controls'!$C$33*'Ground Production'!$E$7</x:f>
        <x:v>1080</x:v>
      </x:c>
      <x:c r="C6" s="57" t="str">
        <x:v>machine-hours/day</x:v>
      </x:c>
      <x:c r="D6" s="57" t="str">
        <x:v>Quantity × hours × availability</x:v>
      </x:c>
      <x:c r="E6" s="57" t="str">
        <x:v>Calculated</x:v>
      </x:c>
      <x:c r="F6" s="57"/>
      <x:c r="G6" s="57"/>
      <x:c r="H6" s="57"/>
    </x:row>
    <x:row r="7">
      <x:c r="A7" s="57" t="str">
        <x:v>Remote-supervision share</x:v>
      </x:c>
      <x:c r="B7" s="60" t="n">
        <x:f>0.20</x:f>
        <x:v>0.2</x:v>
      </x:c>
      <x:c r="C7" s="57" t="str">
        <x:v>% machine-hours</x:v>
      </x:c>
      <x:c r="D7" s="57" t="str">
        <x:v>Operator remains outside immediate fire zone</x:v>
      </x:c>
      <x:c r="E7" s="57" t="str">
        <x:v>Technology assumption</x:v>
      </x:c>
      <x:c r="F7" s="57"/>
      <x:c r="G7" s="57"/>
      <x:c r="H7" s="57"/>
    </x:row>
    <x:row r="8">
      <x:c r="A8" s="57" t="str">
        <x:v>Field exposure displaced</x:v>
      </x:c>
      <x:c r="B8" s="104" t="n">
        <x:f>B6*(1-B7)</x:f>
        <x:v>864</x:v>
      </x:c>
      <x:c r="C8" s="57" t="str">
        <x:v>machine-hours/day</x:v>
      </x:c>
      <x:c r="D8" s="57" t="str">
        <x:v>Machine hours × (1-supervision share)</x:v>
      </x:c>
      <x:c r="E8" s="57" t="str">
        <x:v>Derived proxy</x:v>
      </x:c>
      <x:c r="F8" s="57"/>
      <x:c r="G8" s="57"/>
      <x:c r="H8" s="57"/>
    </x:row>
    <x:row r="9">
      <x:c r="A9" s="57" t="str">
        <x:v>Raw robotic line</x:v>
      </x:c>
      <x:c r="B9" s="104" t="n">
        <x:f>'Ground Production'!$G$7</x:f>
        <x:v>293.302944</x:v>
      </x:c>
      <x:c r="C9" s="57" t="str">
        <x:v>km/day</x:v>
      </x:c>
      <x:c r="D9" s="57" t="str">
        <x:v>Ground Production result</x:v>
      </x:c>
      <x:c r="E9" s="57" t="str">
        <x:v>Calculated</x:v>
      </x:c>
      <x:c r="F9" s="57"/>
      <x:c r="G9" s="57"/>
      <x:c r="H9" s="57"/>
    </x:row>
    <x:row r="10">
      <x:c r="A10" s="57" t="str">
        <x:v>Effective robotic line</x:v>
      </x:c>
      <x:c r="B10" s="104" t="n">
        <x:f>'Line Hold'!$F$7</x:f>
        <x:v>205.07741844480003</x:v>
      </x:c>
      <x:c r="C10" s="57" t="str">
        <x:v>km/day</x:v>
      </x:c>
      <x:c r="D10" s="57" t="str">
        <x:v>Line Hold result</x:v>
      </x:c>
      <x:c r="E10" s="57" t="str">
        <x:v>Calculated</x:v>
      </x:c>
      <x:c r="F10" s="57"/>
      <x:c r="G10" s="57"/>
      <x:c r="H10" s="57"/>
    </x:row>
    <x:row r="11">
      <x:c r="A11" s="57" t="str">
        <x:v>Recovery reserve</x:v>
      </x:c>
      <x:c r="B11" s="60" t="n">
        <x:f>0.10</x:f>
        <x:v>0.1</x:v>
      </x:c>
      <x:c r="C11" s="57" t="str">
        <x:v>% selected fleet</x:v>
      </x:c>
      <x:c r="D11" s="57" t="str">
        <x:v>Disabled-machine recovery and attrition</x:v>
      </x:c>
      <x:c r="E11" s="57" t="str">
        <x:v>Force assumption</x:v>
      </x:c>
      <x:c r="F11" s="57"/>
      <x:c r="G11" s="57"/>
      <x:c r="H11" s="57"/>
    </x:row>
    <x:row r="12">
      <x:c r="A12" s="57"/>
      <x:c r="B12" s="57"/>
      <x:c r="C12" s="57"/>
      <x:c r="D12" s="57"/>
      <x:c r="E12" s="57"/>
      <x:c r="F12" s="57"/>
      <x:c r="G12" s="57"/>
      <x:c r="H12" s="57"/>
    </x:row>
    <x:row r="13">
      <x:c r="A13" s="57"/>
      <x:c r="B13" s="57"/>
      <x:c r="C13" s="57"/>
      <x:c r="D13" s="57"/>
      <x:c r="E13" s="57"/>
      <x:c r="F13" s="57"/>
      <x:c r="G13" s="57"/>
      <x:c r="H13" s="57"/>
    </x:row>
    <x:row r="14">
      <x:c r="A14" s="62" t="str">
        <x:v>Fire-specific test matrix</x:v>
      </x:c>
      <x:c r="B14" s="63"/>
      <x:c r="C14" s="63"/>
      <x:c r="D14" s="63"/>
      <x:c r="E14" s="63"/>
      <x:c r="F14" s="63"/>
      <x:c r="G14" s="63"/>
      <x:c r="H14" s="64"/>
    </x:row>
    <x:row r="15">
      <x:c r="A15" s="10" t="str">
        <x:v>Test family</x:v>
      </x:c>
      <x:c r="B15" s="11" t="str">
        <x:v>Threshold</x:v>
      </x:c>
      <x:c r="C15" s="11" t="str">
        <x:v>Unit</x:v>
      </x:c>
      <x:c r="D15" s="11" t="str">
        <x:v>Environment</x:v>
      </x:c>
      <x:c r="E15" s="11" t="str">
        <x:v>Failure injection</x:v>
      </x:c>
      <x:c r="F15" s="11" t="str">
        <x:v>Operator measure</x:v>
      </x:c>
      <x:c r="G15" s="11" t="str">
        <x:v>Current evidence</x:v>
      </x:c>
      <x:c r="H15" s="12" t="str">
        <x:v>R3 need</x:v>
      </x:c>
    </x:row>
    <x:row r="16">
      <x:c r="A16" s="57" t="str">
        <x:v>Mobility and rollover</x:v>
      </x:c>
      <x:c r="B16" s="57" t="str">
        <x:v>Mission-specific</x:v>
      </x:c>
      <x:c r="C16" s="57" t="str">
        <x:v>grade/side-slope/terrain</x:v>
      </x:c>
      <x:c r="D16" s="57" t="str">
        <x:v>Smoke, heat, dust, vegetation</x:v>
      </x:c>
      <x:c r="E16" s="57" t="str">
        <x:v>Sensor loss and soil failure</x:v>
      </x:c>
      <x:c r="F16" s="57" t="str">
        <x:v>Interventions/hour</x:v>
      </x:c>
      <x:c r="G16" s="58" t="str">
        <x:v>Not verified</x:v>
      </x:c>
      <x:c r="H16" s="57" t="str">
        <x:v>Repeated mission-profile trials</x:v>
      </x:c>
    </x:row>
    <x:row r="17">
      <x:c r="A17" s="57" t="str">
        <x:v>Perception</x:v>
      </x:c>
      <x:c r="B17" s="57" t="str">
        <x:v>Mission-specific</x:v>
      </x:c>
      <x:c r="C17" s="57" t="str">
        <x:v>detection and localization</x:v>
      </x:c>
      <x:c r="D17" s="57" t="str">
        <x:v>Obscuration and flame</x:v>
      </x:c>
      <x:c r="E17" s="57" t="str">
        <x:v>False obstacle and missed edge</x:v>
      </x:c>
      <x:c r="F17" s="57" t="str">
        <x:v>Override rate</x:v>
      </x:c>
      <x:c r="G17" s="58" t="str">
        <x:v>Not verified</x:v>
      </x:c>
      <x:c r="H17" s="57" t="str">
        <x:v>Calibrated truth-set testing</x:v>
      </x:c>
    </x:row>
    <x:row r="18">
      <x:c r="A18" s="57" t="str">
        <x:v>Local safe stop</x:v>
      </x:c>
      <x:c r="B18" s="57" t="str">
        <x:v>Zero unsafe motion</x:v>
      </x:c>
      <x:c r="C18" s="57" t="str">
        <x:v>events</x:v>
      </x:c>
      <x:c r="D18" s="57" t="str">
        <x:v>All mission states</x:v>
      </x:c>
      <x:c r="E18" s="57" t="str">
        <x:v>Lost link and corrupt command</x:v>
      </x:c>
      <x:c r="F18" s="57" t="str">
        <x:v>Recognition time</x:v>
      </x:c>
      <x:c r="G18" s="58" t="str">
        <x:v>Not verified</x:v>
      </x:c>
      <x:c r="H18" s="57" t="str">
        <x:v>Independent safety case</x:v>
      </x:c>
    </x:row>
    <x:row r="19">
      <x:c r="A19" s="57" t="str">
        <x:v>Intermittent communications</x:v>
      </x:c>
      <x:c r="B19" s="57" t="str">
        <x:v>Bounded operation</x:v>
      </x:c>
      <x:c r="C19" s="57" t="str">
        <x:v>minutes disconnected</x:v>
      </x:c>
      <x:c r="D19" s="57" t="str">
        <x:v>Terrain shadow</x:v>
      </x:c>
      <x:c r="E19" s="57" t="str">
        <x:v>Delay, drop and spoof</x:v>
      </x:c>
      <x:c r="F19" s="57" t="str">
        <x:v>Workload</x:v>
      </x:c>
      <x:c r="G19" s="58" t="str">
        <x:v>Not verified</x:v>
      </x:c>
      <x:c r="H19" s="57" t="str">
        <x:v>Degraded-mode demonstration</x:v>
      </x:c>
    </x:row>
    <x:row r="20">
      <x:c r="A20" s="57" t="str">
        <x:v>Line quality</x:v>
      </x:c>
      <x:c r="B20" s="57" t="str">
        <x:v>Mission-specific</x:v>
      </x:c>
      <x:c r="C20" s="57" t="str">
        <x:v>continuity/depth/geometry</x:v>
      </x:c>
      <x:c r="D20" s="57" t="str">
        <x:v>Representative fuels</x:v>
      </x:c>
      <x:c r="E20" s="57" t="str">
        <x:v>Tool wear and obstruction</x:v>
      </x:c>
      <x:c r="F20" s="57" t="str">
        <x:v>Correction burden</x:v>
      </x:c>
      <x:c r="G20" s="58" t="str">
        <x:v>Not verified</x:v>
      </x:c>
      <x:c r="H20" s="57" t="str">
        <x:v>Instrumented line/hold trials</x:v>
      </x:c>
    </x:row>
    <x:row r="21">
      <x:c r="A21" s="57" t="str">
        <x:v>Thermal durability</x:v>
      </x:c>
      <x:c r="B21" s="57" t="str">
        <x:v>Mission-specific</x:v>
      </x:c>
      <x:c r="C21" s="57" t="str">
        <x:v>heat/time envelope</x:v>
      </x:c>
      <x:c r="D21" s="57" t="str">
        <x:v>Radiation, ember and flame</x:v>
      </x:c>
      <x:c r="E21" s="57" t="str">
        <x:v>Cooling or shielding fault</x:v>
      </x:c>
      <x:c r="F21" s="57" t="str">
        <x:v>Evacuation decision</x:v>
      </x:c>
      <x:c r="G21" s="58" t="str">
        <x:v>Not verified</x:v>
      </x:c>
      <x:c r="H21" s="57" t="str">
        <x:v>Full-system thermal test</x:v>
      </x:c>
    </x:row>
    <x:row r="22">
      <x:c r="A22" s="57" t="str">
        <x:v>Recovery</x:v>
      </x:c>
      <x:c r="B22" s="57" t="str">
        <x:v>Bounded</x:v>
      </x:c>
      <x:c r="C22" s="57" t="str">
        <x:v>time and equipment</x:v>
      </x:c>
      <x:c r="D22" s="57" t="str">
        <x:v>Disabled in fire area</x:v>
      </x:c>
      <x:c r="E22" s="57" t="str">
        <x:v>No communications or mobility</x:v>
      </x:c>
      <x:c r="F22" s="57" t="str">
        <x:v>Exposure hours</x:v>
      </x:c>
      <x:c r="G22" s="58" t="str">
        <x:v>Not verified</x:v>
      </x:c>
      <x:c r="H22" s="57" t="str">
        <x:v>Remote and manual recovery trials</x:v>
      </x:c>
    </x:row>
    <x:row r="23">
      <x:c r="A23" s="57" t="str">
        <x:v>Operator proficiency</x:v>
      </x:c>
      <x:c r="B23" s="57" t="str">
        <x:v>Mission-specific</x:v>
      </x:c>
      <x:c r="C23" s="57" t="str">
        <x:v>successful task rate</x:v>
      </x:c>
      <x:c r="D23" s="57" t="str">
        <x:v>Day/night and fatigue</x:v>
      </x:c>
      <x:c r="E23" s="57" t="str">
        <x:v>Interface and automation fault</x:v>
      </x:c>
      <x:c r="F23" s="57" t="str">
        <x:v>Cognitive load</x:v>
      </x:c>
      <x:c r="G23" s="58" t="str">
        <x:v>Not verified</x:v>
      </x:c>
      <x:c r="H23" s="57" t="str">
        <x:v>NIST-style repeatable qualification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23" hidden="0" customWidth="1"/>
    <x:col min="4" max="4" width="15" hidden="0" customWidth="1"/>
    <x:col min="5" max="5" width="18" hidden="0" customWidth="1"/>
    <x:col min="6" max="6" width="23" hidden="0" customWidth="1"/>
    <x:col min="7" max="7" width="26" hidden="0" customWidth="1"/>
    <x:col min="8" max="8" width="20" hidden="0" customWidth="1"/>
    <x:col min="9" max="9" width="23" hidden="0" customWidth="1"/>
    <x:col min="10" max="10" width="22" hidden="0" customWidth="1"/>
  </x:cols>
  <x:sheetData>
    <x:row r="1">
      <x:c r="A1" s="121" t="str">
        <x:v>Water and suppressant balance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>
      <x:c r="A2" s="119" t="str">
        <x:v>Finished-mixture volume screen across aerial demand. Source hydraulics, chemistry, concentration, batch quality and ecological exclusions remain open.</x:v>
      </x:c>
      <x:c r="B2" s="119"/>
      <x:c r="C2" s="119"/>
      <x:c r="D2" s="119"/>
      <x:c r="E2" s="119"/>
      <x:c r="F2" s="119"/>
      <x:c r="G2" s="119"/>
      <x:c r="H2" s="119"/>
      <x:c r="I2" s="119"/>
      <x:c r="J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</x:row>
    <x:row r="4">
      <x:c r="A4" s="10" t="str">
        <x:v>Input</x:v>
      </x:c>
      <x:c r="B4" s="11" t="str">
        <x:v>Value</x:v>
      </x:c>
      <x:c r="C4" s="11" t="str">
        <x:v>Unit</x:v>
      </x:c>
      <x:c r="D4" s="11" t="str">
        <x:v>Basis</x:v>
      </x:c>
      <x:c r="E4" s="12" t="str">
        <x:v>Evidence class</x:v>
      </x:c>
      <x:c r="F4" s="57"/>
      <x:c r="G4" s="57"/>
      <x:c r="H4" s="57"/>
      <x:c r="I4" s="57"/>
      <x:c r="J4" s="57"/>
    </x:row>
    <x:row r="5">
      <x:c r="A5" s="57" t="str">
        <x:v>Water capacity per unit</x:v>
      </x:c>
      <x:c r="B5" s="61" t="n">
        <x:v>250000</x:v>
      </x:c>
      <x:c r="C5" s="57" t="str">
        <x:v>gal/day</x:v>
      </x:c>
      <x:c r="D5" s="57" t="str">
        <x:v>Source, pump, storage and refill system</x:v>
      </x:c>
      <x:c r="E5" s="57" t="str">
        <x:v>Design assumption</x:v>
      </x:c>
      <x:c r="F5" s="57"/>
      <x:c r="G5" s="57"/>
      <x:c r="H5" s="57"/>
      <x:c r="I5" s="57"/>
      <x:c r="J5" s="57"/>
    </x:row>
    <x:row r="6">
      <x:c r="A6" s="57" t="str">
        <x:v>Retardant mix capacity per base</x:v>
      </x:c>
      <x:c r="B6" s="61" t="n">
        <x:v>200000</x:v>
      </x:c>
      <x:c r="C6" s="57" t="str">
        <x:v>gal/day</x:v>
      </x:c>
      <x:c r="D6" s="57" t="str">
        <x:v>Finished mixture</x:v>
      </x:c>
      <x:c r="E6" s="57" t="str">
        <x:v>Design assumption</x:v>
      </x:c>
      <x:c r="F6" s="57"/>
      <x:c r="G6" s="57"/>
      <x:c r="H6" s="57"/>
      <x:c r="I6" s="57"/>
      <x:c r="J6" s="57"/>
    </x:row>
    <x:row r="7">
      <x:c r="A7" s="57" t="str">
        <x:v>Water units</x:v>
      </x:c>
      <x:c r="B7" s="77" t="n">
        <x:f>'Controls'!$C$43</x:f>
        <x:v>12</x:v>
      </x:c>
      <x:c r="C7" s="57" t="str">
        <x:v>systems</x:v>
      </x:c>
      <x:c r="D7" s="57" t="str">
        <x:v>Selected package</x:v>
      </x:c>
      <x:c r="E7" s="57" t="str">
        <x:v>Calculated</x:v>
      </x:c>
      <x:c r="F7" s="57"/>
      <x:c r="G7" s="57"/>
      <x:c r="H7" s="57"/>
      <x:c r="I7" s="57"/>
      <x:c r="J7" s="57"/>
    </x:row>
    <x:row r="8">
      <x:c r="A8" s="57" t="str">
        <x:v>Air bases</x:v>
      </x:c>
      <x:c r="B8" s="77" t="n">
        <x:f>'Controls'!$C$39</x:f>
        <x:v>6</x:v>
      </x:c>
      <x:c r="C8" s="57" t="str">
        <x:v>bases</x:v>
      </x:c>
      <x:c r="D8" s="57" t="str">
        <x:v>Selected package</x:v>
      </x:c>
      <x:c r="E8" s="57" t="str">
        <x:v>Calculated</x:v>
      </x:c>
      <x:c r="F8" s="57"/>
      <x:c r="G8" s="57"/>
      <x:c r="H8" s="57"/>
      <x:c r="I8" s="57"/>
      <x:c r="J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</x:row>
    <x:row r="11">
      <x:c r="A11" s="10" t="str">
        <x:v>ID</x:v>
      </x:c>
      <x:c r="B11" s="11" t="str">
        <x:v>Payload (gal)</x:v>
      </x:c>
      <x:c r="C11" s="11" t="str">
        <x:v>Unconstrained sorties</x:v>
      </x:c>
      <x:c r="D11" s="11" t="str">
        <x:v>Water share</x:v>
      </x:c>
      <x:c r="E11" s="11" t="str">
        <x:v>Retardant share</x:v>
      </x:c>
      <x:c r="F11" s="11" t="str">
        <x:v>Water demand (gal/day)</x:v>
      </x:c>
      <x:c r="G11" s="11" t="str">
        <x:v>Retardant demand (gal/day)</x:v>
      </x:c>
      <x:c r="H11" s="11" t="str">
        <x:v>Water capacity ratio</x:v>
      </x:c>
      <x:c r="I11" s="11" t="str">
        <x:v>Retardant capacity ratio</x:v>
      </x:c>
      <x:c r="J11" s="12" t="str">
        <x:v>Fluid-capped sorties</x:v>
      </x:c>
    </x:row>
    <x:row r="12">
      <x:c r="A12" s="57" t="str">
        <x:v>FA-2</x:v>
      </x:c>
      <x:c r="B12" s="65" t="n">
        <x:f>'Aircraft Families'!$C$6</x:f>
        <x:v>1500</x:v>
      </x:c>
      <x:c r="C12" s="65" t="n">
        <x:f>'Air Mission Cycle'!$P$5</x:f>
        <x:v>354.23999999999995</x:v>
      </x:c>
      <x:c r="D12" s="60" t="n">
        <x:v>0.5</x:v>
      </x:c>
      <x:c r="E12" s="60" t="n">
        <x:v>0.5</x:v>
      </x:c>
      <x:c r="F12" s="77" t="n">
        <x:f>B12*C12*D12</x:f>
        <x:v>265679.99999999994</x:v>
      </x:c>
      <x:c r="G12" s="77" t="n">
        <x:f>B12*C12*E12</x:f>
        <x:v>265679.99999999994</x:v>
      </x:c>
      <x:c r="H12" s="76" t="n">
        <x:f>IF(SUM($F$12:$F$15)=0,1,MIN(1,$B$5*$B$7/SUM($F$12:$F$15)))</x:f>
        <x:v>1</x:v>
      </x:c>
      <x:c r="I12" s="76" t="n">
        <x:f>IF(SUM($G$12:$G$15)=0,1,MIN(1,$B$6*$B$8/SUM($G$12:$G$15)))</x:f>
        <x:v>0.8409863087428937</x:v>
      </x:c>
      <x:c r="J12" s="65" t="n">
        <x:f>C12*MIN(IF(D12=0,1,H12),IF(E12=0,1,I12))</x:f>
        <x:v>297.91099000908264</x:v>
      </x:c>
    </x:row>
    <x:row r="13">
      <x:c r="A13" s="57" t="str">
        <x:v>FA-3</x:v>
      </x:c>
      <x:c r="B13" s="65" t="n">
        <x:f>'Aircraft Families'!$C$7</x:f>
        <x:v>3500</x:v>
      </x:c>
      <x:c r="C13" s="65" t="n">
        <x:f>'Air Mission Cycle'!$P$6</x:f>
        <x:v>212.16</x:v>
      </x:c>
      <x:c r="D13" s="60" t="n">
        <x:v>1</x:v>
      </x:c>
      <x:c r="E13" s="60" t="n">
        <x:v>0</x:v>
      </x:c>
      <x:c r="F13" s="77" t="n">
        <x:f>B13*C13*D13</x:f>
        <x:v>742560</x:v>
      </x:c>
      <x:c r="G13" s="77" t="n">
        <x:f>B13*C13*E13</x:f>
        <x:v>0</x:v>
      </x:c>
      <x:c r="H13" s="76" t="n">
        <x:f>IF(SUM($F$12:$F$15)=0,1,MIN(1,$B$5*$B$7/SUM($F$12:$F$15)))</x:f>
        <x:v>1</x:v>
      </x:c>
      <x:c r="I13" s="76" t="n">
        <x:f>IF(SUM($G$12:$G$15)=0,1,MIN(1,$B$6*$B$8/SUM($G$12:$G$15)))</x:f>
        <x:v>0.8409863087428937</x:v>
      </x:c>
      <x:c r="J13" s="65" t="n">
        <x:f>C13*MIN(IF(D13=0,1,H13),IF(E13=0,1,I13))</x:f>
        <x:v>212.16</x:v>
      </x:c>
    </x:row>
    <x:row r="14">
      <x:c r="A14" s="57" t="str">
        <x:v>FA-4</x:v>
      </x:c>
      <x:c r="B14" s="65" t="n">
        <x:f>'Aircraft Families'!$C$8</x:f>
        <x:v>12000</x:v>
      </x:c>
      <x:c r="C14" s="65" t="n">
        <x:f>'Air Mission Cycle'!$P$7</x:f>
        <x:v>120.96</x:v>
      </x:c>
      <x:c r="D14" s="60" t="n">
        <x:v>0.2</x:v>
      </x:c>
      <x:c r="E14" s="60" t="n">
        <x:v>0.8</x:v>
      </x:c>
      <x:c r="F14" s="77" t="n">
        <x:f>B14*C14*D14</x:f>
        <x:v>290304</x:v>
      </x:c>
      <x:c r="G14" s="77" t="n">
        <x:f>B14*C14*E14</x:f>
        <x:v>1161216</x:v>
      </x:c>
      <x:c r="H14" s="76" t="n">
        <x:f>IF(SUM($F$12:$F$15)=0,1,MIN(1,$B$5*$B$7/SUM($F$12:$F$15)))</x:f>
        <x:v>1</x:v>
      </x:c>
      <x:c r="I14" s="76" t="n">
        <x:f>IF(SUM($G$12:$G$15)=0,1,MIN(1,$B$6*$B$8/SUM($G$12:$G$15)))</x:f>
        <x:v>0.8409863087428937</x:v>
      </x:c>
      <x:c r="J14" s="65" t="n">
        <x:f>C14*MIN(IF(D14=0,1,H14),IF(E14=0,1,I14))</x:f>
        <x:v>101.72570390554041</x:v>
      </x:c>
    </x:row>
    <x:row r="15">
      <x:c r="A15" s="57" t="str">
        <x:v>FA-5</x:v>
      </x:c>
      <x:c r="B15" s="65" t="n">
        <x:f>'Aircraft Families'!$C$9</x:f>
        <x:v>2500</x:v>
      </x:c>
      <x:c r="C15" s="65" t="n">
        <x:f>'Air Mission Cycle'!$P$8</x:f>
        <x:v>186.48</x:v>
      </x:c>
      <x:c r="D15" s="60" t="n">
        <x:v>1</x:v>
      </x:c>
      <x:c r="E15" s="60" t="n">
        <x:v>0</x:v>
      </x:c>
      <x:c r="F15" s="77" t="n">
        <x:f>B15*C15*D15</x:f>
        <x:v>466200</x:v>
      </x:c>
      <x:c r="G15" s="77" t="n">
        <x:f>B15*C15*E15</x:f>
        <x:v>0</x:v>
      </x:c>
      <x:c r="H15" s="76" t="n">
        <x:f>IF(SUM($F$12:$F$15)=0,1,MIN(1,$B$5*$B$7/SUM($F$12:$F$15)))</x:f>
        <x:v>1</x:v>
      </x:c>
      <x:c r="I15" s="76" t="n">
        <x:f>IF(SUM($G$12:$G$15)=0,1,MIN(1,$B$6*$B$8/SUM($G$12:$G$15)))</x:f>
        <x:v>0.8409863087428937</x:v>
      </x:c>
      <x:c r="J15" s="65" t="n">
        <x:f>C15*MIN(IF(D15=0,1,H15),IF(E15=0,1,I15))</x:f>
        <x:v>186.48</x:v>
      </x:c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</x:row>
    <x:row r="18">
      <x:c r="A18" s="62" t="str">
        <x:v>System fluid result</x:v>
      </x:c>
      <x:c r="B18" s="63"/>
      <x:c r="C18" s="63"/>
      <x:c r="D18" s="63"/>
      <x:c r="E18" s="63"/>
      <x:c r="F18" s="64"/>
      <x:c r="G18" s="57"/>
      <x:c r="H18" s="57"/>
      <x:c r="I18" s="57"/>
      <x:c r="J18" s="57"/>
    </x:row>
    <x:row r="19">
      <x:c r="A19" s="10" t="str">
        <x:v>Water demand</x:v>
      </x:c>
      <x:c r="B19" s="11" t="str">
        <x:v>Water capacity</x:v>
      </x:c>
      <x:c r="C19" s="11" t="str">
        <x:v>Retardant demand</x:v>
      </x:c>
      <x:c r="D19" s="11" t="str">
        <x:v>Retardant capacity</x:v>
      </x:c>
      <x:c r="E19" s="11" t="str">
        <x:v>System scaling factor</x:v>
      </x:c>
      <x:c r="F19" s="12" t="str">
        <x:v>Constraint</x:v>
      </x:c>
      <x:c r="G19" s="57"/>
      <x:c r="H19" s="57"/>
      <x:c r="I19" s="57"/>
      <x:c r="J19" s="57"/>
    </x:row>
    <x:row r="20">
      <x:c r="A20" s="77" t="n">
        <x:f>SUM(F12:F15)</x:f>
        <x:v>1764744</x:v>
      </x:c>
      <x:c r="B20" s="77" t="n">
        <x:f>$B$5*$B$7</x:f>
        <x:v>3000000</x:v>
      </x:c>
      <x:c r="C20" s="77" t="n">
        <x:f>SUM(G12:G15)</x:f>
        <x:v>1426896</x:v>
      </x:c>
      <x:c r="D20" s="77" t="n">
        <x:f>$B$6*$B$8</x:f>
        <x:v>1200000</x:v>
      </x:c>
      <x:c r="E20" s="76" t="n">
        <x:f>MIN(IF(A20=0,1,MIN(1,B20/A20)),IF(C20=0,1,MIN(1,D20/C20)))</x:f>
        <x:v>0.8409863087428937</x:v>
      </x:c>
      <x:c r="F20" s="92" t="str">
        <x:f>IF(E20&lt;1,"Fluid throughput binding","Fluid throughput available")</x:f>
        <x:v>Fluid throughput binding</x:v>
      </x:c>
      <x:c r="G20" s="57"/>
      <x:c r="H20" s="57"/>
      <x:c r="I20" s="57"/>
      <x:c r="J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</x:row>
    <x:row r="23">
      <x:c r="A23" s="125" t="str">
        <x:v>Allocation</x:v>
      </x:c>
      <x:c r="B23" s="125" t="str">
        <x:v>If either water or retardant capacity binds, sorties are proportionally reduced by required agent share. Tactical reprioritization is not modeled.</x:v>
      </x:c>
      <x:c r="C23" s="125"/>
      <x:c r="D23" s="125"/>
      <x:c r="E23" s="125"/>
      <x:c r="F23" s="125"/>
      <x:c r="G23" s="125"/>
      <x:c r="H23" s="125"/>
      <x:c r="I23" s="125"/>
      <x:c r="J23" s="125"/>
    </x:row>
    <x:row r="24">
      <x:c r="A24" s="125" t="str">
        <x:v>Chemistry</x:v>
      </x:c>
      <x:c r="B24" s="125" t="str">
        <x:v>Volumes are finished mixture. Concentrate logistics, batch density, agent effectiveness, environmental fate and waterway exclusion require separate evidence.</x:v>
      </x:c>
      <x:c r="C24" s="125"/>
      <x:c r="D24" s="125"/>
      <x:c r="E24" s="125"/>
      <x:c r="F24" s="125"/>
      <x:c r="G24" s="125"/>
      <x:c r="H24" s="125"/>
      <x:c r="I24" s="125"/>
      <x:c r="J24" s="125"/>
    </x:row>
  </x:sheetData>
  <x:mergeCells>
    <x:mergeCell ref="B23:J23"/>
    <x:mergeCell ref="B24:J2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2" hidden="0" customWidth="1"/>
    <x:col min="4" max="4" width="46" hidden="0" customWidth="1"/>
    <x:col min="5" max="5" width="26" hidden="0" customWidth="1"/>
  </x:cols>
  <x:sheetData>
    <x:row r="1">
      <x:c r="A1" s="121" t="str">
        <x:v>Community ember-defense throughput</x:v>
      </x:c>
      <x:c r="B1" s="56"/>
      <x:c r="C1" s="56"/>
      <x:c r="D1" s="56"/>
      <x:c r="E1" s="56"/>
      <x:c r="F1" s="118"/>
    </x:row>
    <x:row r="2">
      <x:c r="A2" s="119" t="str">
        <x:v>Cluster-defense equivalents quantify installation and sustainment reach. They do not predict structure survival without exposure-calibrated validation.</x:v>
      </x:c>
      <x:c r="B2" s="119"/>
      <x:c r="C2" s="119"/>
      <x:c r="D2" s="119"/>
      <x:c r="E2" s="119"/>
      <x:c r="F2" s="119"/>
    </x:row>
    <x:row r="3">
      <x:c r="A3" s="57"/>
      <x:c r="B3" s="57"/>
      <x:c r="C3" s="57"/>
      <x:c r="D3" s="57"/>
      <x:c r="E3" s="57"/>
      <x:c r="F3" s="120"/>
    </x:row>
    <x:row r="4">
      <x:c r="A4" s="10" t="str">
        <x:v>Input</x:v>
      </x:c>
      <x:c r="B4" s="11" t="str">
        <x:v>Value</x:v>
      </x:c>
      <x:c r="C4" s="11" t="str">
        <x:v>Unit</x:v>
      </x:c>
      <x:c r="D4" s="11" t="str">
        <x:v>Basis</x:v>
      </x:c>
      <x:c r="E4" s="12" t="str">
        <x:v>Evidence class</x:v>
      </x:c>
      <x:c r="F4" s="120"/>
    </x:row>
    <x:row r="5">
      <x:c r="A5" s="57" t="str">
        <x:v>Structure teams</x:v>
      </x:c>
      <x:c r="B5" s="65" t="n">
        <x:f>'Controls'!$C$44</x:f>
        <x:v>24</x:v>
      </x:c>
      <x:c r="C5" s="57" t="str">
        <x:v>teams</x:v>
      </x:c>
      <x:c r="D5" s="57" t="str">
        <x:v>Selected package</x:v>
      </x:c>
      <x:c r="E5" s="57" t="str">
        <x:v>Calculated</x:v>
      </x:c>
      <x:c r="F5" s="120"/>
    </x:row>
    <x:row r="6">
      <x:c r="A6" s="57" t="str">
        <x:v>Clusters installed per team-day</x:v>
      </x:c>
      <x:c r="B6" s="81" t="n">
        <x:v>0.5</x:v>
      </x:c>
      <x:c r="C6" s="57" t="str">
        <x:v>clusters/team-day</x:v>
      </x:c>
      <x:c r="D6" s="57" t="str">
        <x:v>Rapid exterior protection and local systems</x:v>
      </x:c>
      <x:c r="E6" s="57" t="str">
        <x:v>Design assumption</x:v>
      </x:c>
      <x:c r="F6" s="120"/>
    </x:row>
    <x:row r="7">
      <x:c r="A7" s="57" t="str">
        <x:v>Team availability</x:v>
      </x:c>
      <x:c r="B7" s="60" t="n">
        <x:v>0.85</x:v>
      </x:c>
      <x:c r="C7" s="57" t="str">
        <x:v>%</x:v>
      </x:c>
      <x:c r="D7" s="57" t="str">
        <x:v>Crew, equipment and access</x:v>
      </x:c>
      <x:c r="E7" s="57" t="str">
        <x:v>Design assumption</x:v>
      </x:c>
      <x:c r="F7" s="120"/>
    </x:row>
    <x:row r="8">
      <x:c r="A8" s="57" t="str">
        <x:v>Installation quality</x:v>
      </x:c>
      <x:c r="B8" s="60" t="n">
        <x:v>0.85</x:v>
      </x:c>
      <x:c r="C8" s="57" t="str">
        <x:v>% planned effect</x:v>
      </x:c>
      <x:c r="D8" s="57" t="str">
        <x:v>Time and workmanship</x:v>
      </x:c>
      <x:c r="E8" s="57" t="str">
        <x:v>Design assumption</x:v>
      </x:c>
      <x:c r="F8" s="120"/>
    </x:row>
    <x:row r="9">
      <x:c r="A9" s="57" t="str">
        <x:v>Weathered-material performance</x:v>
      </x:c>
      <x:c r="B9" s="60" t="n">
        <x:v>0.8</x:v>
      </x:c>
      <x:c r="C9" s="57" t="str">
        <x:v>% planned effect</x:v>
      </x:c>
      <x:c r="D9" s="57" t="str">
        <x:v>UV, moisture, dirt and storage aging</x:v>
      </x:c>
      <x:c r="E9" s="57" t="str">
        <x:v>Design assumption</x:v>
      </x:c>
      <x:c r="F9" s="120"/>
    </x:row>
    <x:row r="10">
      <x:c r="A10" s="57" t="str">
        <x:v>Water and power availability</x:v>
      </x:c>
      <x:c r="B10" s="60" t="n">
        <x:v>0.9</x:v>
      </x:c>
      <x:c r="C10" s="57" t="str">
        <x:v>% planned effect</x:v>
      </x:c>
      <x:c r="D10" s="57" t="str">
        <x:v>Local service continuity</x:v>
      </x:c>
      <x:c r="E10" s="57" t="str">
        <x:v>Design assumption</x:v>
      </x:c>
      <x:c r="F10" s="120"/>
    </x:row>
    <x:row r="11">
      <x:c r="A11" s="57" t="str">
        <x:v>Exposure-fit factor</x:v>
      </x:c>
      <x:c r="B11" s="60" t="n">
        <x:v>0.75</x:v>
      </x:c>
      <x:c r="C11" s="57" t="str">
        <x:v>% planned effect</x:v>
      </x:c>
      <x:c r="D11" s="57" t="str">
        <x:v>Ember, radiation and structure pathways</x:v>
      </x:c>
      <x:c r="E11" s="57" t="str">
        <x:v>Design assumption</x:v>
      </x:c>
      <x:c r="F11" s="120"/>
    </x:row>
    <x:row r="12">
      <x:c r="A12" s="57" t="str">
        <x:v>Structures per cluster</x:v>
      </x:c>
      <x:c r="B12" s="61" t="n">
        <x:v>100</x:v>
      </x:c>
      <x:c r="C12" s="57" t="str">
        <x:v>structures</x:v>
      </x:c>
      <x:c r="D12" s="57" t="str">
        <x:v>Neighborhood planning unit</x:v>
      </x:c>
      <x:c r="E12" s="57" t="str">
        <x:v>Design assumption</x:v>
      </x:c>
      <x:c r="F12" s="120"/>
    </x:row>
    <x:row r="13">
      <x:c r="A13" s="57" t="str">
        <x:v>Water demand per treated cluster</x:v>
      </x:c>
      <x:c r="B13" s="61" t="n">
        <x:v>20000</x:v>
      </x:c>
      <x:c r="C13" s="57" t="str">
        <x:v>gal/day</x:v>
      </x:c>
      <x:c r="D13" s="57" t="str">
        <x:v>Wetting, mist and point suppression</x:v>
      </x:c>
      <x:c r="E13" s="57" t="str">
        <x:v>Design assumption</x:v>
      </x:c>
      <x:c r="F13" s="120"/>
    </x:row>
    <x:row r="14">
      <x:c r="A14" s="57" t="str">
        <x:v>Power per treated cluster</x:v>
      </x:c>
      <x:c r="B14" s="61" t="n">
        <x:v>15</x:v>
      </x:c>
      <x:c r="C14" s="57" t="str">
        <x:v>kW</x:v>
      </x:c>
      <x:c r="D14" s="57" t="str">
        <x:v>Pumps, sensors and communications</x:v>
      </x:c>
      <x:c r="E14" s="57" t="str">
        <x:v>Design assumption</x:v>
      </x:c>
      <x:c r="F14" s="120"/>
    </x:row>
    <x:row r="15">
      <x:c r="A15" s="57"/>
      <x:c r="B15" s="57"/>
      <x:c r="C15" s="57"/>
      <x:c r="D15" s="57"/>
      <x:c r="E15" s="57"/>
      <x:c r="F15" s="120"/>
    </x:row>
    <x:row r="16">
      <x:c r="A16" s="57"/>
      <x:c r="B16" s="57"/>
      <x:c r="C16" s="57"/>
      <x:c r="D16" s="57"/>
      <x:c r="E16" s="57"/>
      <x:c r="F16" s="120"/>
    </x:row>
    <x:row r="17">
      <x:c r="A17" s="62" t="str">
        <x:v>Cluster-defense result</x:v>
      </x:c>
      <x:c r="B17" s="63"/>
      <x:c r="C17" s="63"/>
      <x:c r="D17" s="63"/>
      <x:c r="E17" s="64"/>
      <x:c r="F17" s="120"/>
    </x:row>
    <x:row r="18">
      <x:c r="A18" s="10" t="str">
        <x:v>Metric</x:v>
      </x:c>
      <x:c r="B18" s="11" t="str">
        <x:v>Value</x:v>
      </x:c>
      <x:c r="C18" s="11" t="str">
        <x:v>Unit</x:v>
      </x:c>
      <x:c r="D18" s="11" t="str">
        <x:v>Interpretation</x:v>
      </x:c>
      <x:c r="E18" s="12" t="str">
        <x:v>Limit</x:v>
      </x:c>
      <x:c r="F18" s="120"/>
    </x:row>
    <x:row r="19">
      <x:c r="A19" s="57" t="str">
        <x:v>Treated clusters per day</x:v>
      </x:c>
      <x:c r="B19" s="104" t="n">
        <x:f>B5*B6*B7</x:f>
        <x:v>10.2</x:v>
      </x:c>
      <x:c r="C19" s="57" t="str">
        <x:v>clusters/day</x:v>
      </x:c>
      <x:c r="D19" s="57" t="str">
        <x:v>Teams × rate × availability</x:v>
      </x:c>
      <x:c r="E19" s="57" t="str">
        <x:v>Access not spatially modeled</x:v>
      </x:c>
      <x:c r="F19" s="120"/>
    </x:row>
    <x:row r="20">
      <x:c r="A20" s="57" t="str">
        <x:v>Implementation success factor</x:v>
      </x:c>
      <x:c r="B20" s="76" t="n">
        <x:f>B8*B9*B10*B11</x:f>
        <x:v>0.4590000000000001</x:v>
      </x:c>
      <x:c r="C20" s="57" t="str">
        <x:v>%</x:v>
      </x:c>
      <x:c r="D20" s="57" t="str">
        <x:v>Quality × weathering × utilities × exposure fit</x:v>
      </x:c>
      <x:c r="E20" s="57" t="str">
        <x:v>Not survival probability</x:v>
      </x:c>
      <x:c r="F20" s="120"/>
    </x:row>
    <x:row r="21">
      <x:c r="A21" s="57" t="str">
        <x:v>Effective cluster-defense equivalents</x:v>
      </x:c>
      <x:c r="B21" s="104" t="n">
        <x:f>B19*B20</x:f>
        <x:v>4.681800000000001</x:v>
      </x:c>
      <x:c r="C21" s="57" t="str">
        <x:v>clusters/day</x:v>
      </x:c>
      <x:c r="D21" s="57" t="str">
        <x:v>Treated clusters × success factor</x:v>
      </x:c>
      <x:c r="E21" s="57" t="str">
        <x:v>Proxy pending full-scale test</x:v>
      </x:c>
      <x:c r="F21" s="120"/>
    </x:row>
    <x:row r="22">
      <x:c r="A22" s="57" t="str">
        <x:v>Structures reached</x:v>
      </x:c>
      <x:c r="B22" s="104" t="n">
        <x:f>B21*B12</x:f>
        <x:v>468.18000000000006</x:v>
      </x:c>
      <x:c r="C22" s="57" t="str">
        <x:v>structures/day</x:v>
      </x:c>
      <x:c r="D22" s="57" t="str">
        <x:v>Effective equivalents × structures/cluster</x:v>
      </x:c>
      <x:c r="E22" s="57" t="str">
        <x:v>Structure diversity omitted</x:v>
      </x:c>
      <x:c r="F22" s="120"/>
    </x:row>
    <x:row r="23">
      <x:c r="A23" s="57" t="str">
        <x:v>At-risk cluster campaign coverage</x:v>
      </x:c>
      <x:c r="B23" s="76" t="n">
        <x:f>IF('Fire Cases'!$B$19=0,1,MIN(1,B21*'Controls'!$C$7/'Fire Cases'!$B$19))</x:f>
        <x:v>0.327726</x:v>
      </x:c>
      <x:c r="C23" s="57" t="str">
        <x:v>%</x:v>
      </x:c>
      <x:c r="D23" s="57" t="str">
        <x:v>Effective equivalents × duration / at-risk clusters</x:v>
      </x:c>
      <x:c r="E23" s="57" t="str">
        <x:v>Timing and evacuation omitted</x:v>
      </x:c>
      <x:c r="F23" s="120"/>
    </x:row>
    <x:row r="24">
      <x:c r="A24" s="57" t="str">
        <x:v>Water demand</x:v>
      </x:c>
      <x:c r="B24" s="104" t="n">
        <x:f>B19*B13</x:f>
        <x:v>204000</x:v>
      </x:c>
      <x:c r="C24" s="57" t="str">
        <x:v>gal/day</x:v>
      </x:c>
      <x:c r="D24" s="57" t="str">
        <x:v>Treated clusters × water demand</x:v>
      </x:c>
      <x:c r="E24" s="57" t="str">
        <x:v>Source route omitted</x:v>
      </x:c>
      <x:c r="F24" s="120"/>
    </x:row>
    <x:row r="25">
      <x:c r="A25" s="57" t="str">
        <x:v>Power demand</x:v>
      </x:c>
      <x:c r="B25" s="104" t="n">
        <x:f>B19*B14/1000</x:f>
        <x:v>0.153</x:v>
      </x:c>
      <x:c r="C25" s="57" t="str">
        <x:v>MW</x:v>
      </x:c>
      <x:c r="D25" s="57" t="str">
        <x:v>Treated clusters × kW / 1000</x:v>
      </x:c>
      <x:c r="E25" s="57" t="str">
        <x:v>Peak profile omitted</x:v>
      </x:c>
      <x:c r="F25" s="120"/>
    </x:row>
    <x:row r="26">
      <x:c r="A26" s="57"/>
      <x:c r="B26" s="57"/>
      <x:c r="C26" s="57"/>
      <x:c r="D26" s="57"/>
      <x:c r="E26" s="57"/>
      <x:c r="F26" s="120"/>
    </x:row>
    <x:row r="27">
      <x:c r="A27" s="57"/>
      <x:c r="B27" s="57"/>
      <x:c r="C27" s="57"/>
      <x:c r="D27" s="57"/>
      <x:c r="E27" s="57"/>
      <x:c r="F27" s="120"/>
    </x:row>
    <x:row r="28">
      <x:c r="A28" s="125" t="str">
        <x:v>Interpretation</x:v>
      </x:c>
      <x:c r="B28" s="125" t="str">
        <x:v>An effective cluster-defense equivalent is an implementation-throughput proxy. It must not be described as a saved neighborhood or expected structure survival.</x:v>
      </x:c>
      <x:c r="C28" s="125"/>
      <x:c r="D28" s="125"/>
      <x:c r="E28" s="125"/>
      <x:c r="F28" s="120"/>
    </x:row>
    <x:row r="29">
      <x:c r="A29" s="125" t="str">
        <x:v>R3 evidence</x:v>
      </x:c>
      <x:c r="B29" s="125" t="str">
        <x:v>Representative ember flux, wind, radiation, structure-to-structure exposure, installation error, weathering and water/power loss at parcel and cluster scale.</x:v>
      </x:c>
      <x:c r="C29" s="125"/>
      <x:c r="D29" s="125"/>
      <x:c r="E29" s="125"/>
      <x:c r="F29" s="120"/>
    </x:row>
  </x:sheetData>
  <x:mergeCells>
    <x:mergeCell ref="B28:E28"/>
    <x:mergeCell ref="B29:E29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22" hidden="0" customWidth="1"/>
    <x:col min="4" max="4" width="44" hidden="0" customWidth="1"/>
    <x:col min="5" max="5" width="30" hidden="0" customWidth="1"/>
  </x:cols>
  <x:sheetData>
    <x:row r="1">
      <x:c r="A1" s="121" t="str">
        <x:v>Smoke and thermal protection</x:v>
      </x:c>
      <x:c r="B1" s="56"/>
      <x:c r="C1" s="56"/>
      <x:c r="D1" s="56"/>
      <x:c r="E1" s="56"/>
    </x:row>
    <x:row r="2">
      <x:c r="A2" s="119" t="str">
        <x:v>People-hours are counted only when capacity, operating time, availability and occupancy align. Health thresholds and building loads remain external evidence needs.</x:v>
      </x:c>
      <x:c r="B2" s="119"/>
      <x:c r="C2" s="119"/>
      <x:c r="D2" s="119"/>
      <x:c r="E2" s="119"/>
    </x:row>
    <x:row r="3">
      <x:c r="A3" s="57"/>
      <x:c r="B3" s="57"/>
      <x:c r="C3" s="57"/>
      <x:c r="D3" s="57"/>
      <x:c r="E3" s="57"/>
    </x:row>
    <x:row r="4">
      <x:c r="A4" s="10" t="str">
        <x:v>Input</x:v>
      </x:c>
      <x:c r="B4" s="11" t="str">
        <x:v>Value</x:v>
      </x:c>
      <x:c r="C4" s="11" t="str">
        <x:v>Unit</x:v>
      </x:c>
      <x:c r="D4" s="11" t="str">
        <x:v>Basis</x:v>
      </x:c>
      <x:c r="E4" s="12" t="str">
        <x:v>Evidence class</x:v>
      </x:c>
    </x:row>
    <x:row r="5">
      <x:c r="A5" s="57" t="str">
        <x:v>Clean-air modules</x:v>
      </x:c>
      <x:c r="B5" s="65" t="n">
        <x:f>'Controls'!$C$45</x:f>
        <x:v>24</x:v>
      </x:c>
      <x:c r="C5" s="57" t="str">
        <x:v>modules</x:v>
      </x:c>
      <x:c r="D5" s="57" t="str">
        <x:v>Selected package</x:v>
      </x:c>
      <x:c r="E5" s="57" t="str">
        <x:v>Calculated</x:v>
      </x:c>
    </x:row>
    <x:row r="6">
      <x:c r="A6" s="57" t="str">
        <x:v>Public capacity per module</x:v>
      </x:c>
      <x:c r="B6" s="81" t="n">
        <x:v>500</x:v>
      </x:c>
      <x:c r="C6" s="57" t="str">
        <x:v>people</x:v>
      </x:c>
      <x:c r="D6" s="57" t="str">
        <x:v>Filtered and thermally safe occupied capacity</x:v>
      </x:c>
      <x:c r="E6" s="57" t="str">
        <x:v>Design assumption</x:v>
      </x:c>
    </x:row>
    <x:row r="7">
      <x:c r="A7" s="57" t="str">
        <x:v>Public operating hours</x:v>
      </x:c>
      <x:c r="B7" s="81" t="n">
        <x:v>16</x:v>
      </x:c>
      <x:c r="C7" s="57" t="str">
        <x:v>hours/day</x:v>
      </x:c>
      <x:c r="D7" s="57" t="str">
        <x:v>Accessible daily protection interval</x:v>
      </x:c>
      <x:c r="E7" s="57" t="str">
        <x:v>Design assumption</x:v>
      </x:c>
    </x:row>
    <x:row r="8">
      <x:c r="A8" s="57" t="str">
        <x:v>System availability</x:v>
      </x:c>
      <x:c r="B8" s="60" t="n">
        <x:v>0.9</x:v>
      </x:c>
      <x:c r="C8" s="57" t="str">
        <x:v>%</x:v>
      </x:c>
      <x:c r="D8" s="57" t="str">
        <x:v>Power, filter and staff availability</x:v>
      </x:c>
      <x:c r="E8" s="57" t="str">
        <x:v>Design assumption</x:v>
      </x:c>
    </x:row>
    <x:row r="9">
      <x:c r="A9" s="57" t="str">
        <x:v>Expected occupancy</x:v>
      </x:c>
      <x:c r="B9" s="60" t="n">
        <x:v>0.85</x:v>
      </x:c>
      <x:c r="C9" s="57" t="str">
        <x:v>% capacity</x:v>
      </x:c>
      <x:c r="D9" s="57" t="str">
        <x:v>Access and public use</x:v>
      </x:c>
      <x:c r="E9" s="57" t="str">
        <x:v>Design assumption</x:v>
      </x:c>
    </x:row>
    <x:row r="10">
      <x:c r="A10" s="57" t="str">
        <x:v>Electric load per module</x:v>
      </x:c>
      <x:c r="B10" s="103" t="n">
        <x:v>0.25</x:v>
      </x:c>
      <x:c r="C10" s="57" t="str">
        <x:v>MW</x:v>
      </x:c>
      <x:c r="D10" s="57" t="str">
        <x:v>HVAC, filtration, lighting and support</x:v>
      </x:c>
      <x:c r="E10" s="57" t="str">
        <x:v>Design assumption</x:v>
      </x:c>
    </x:row>
    <x:row r="11">
      <x:c r="A11" s="57" t="str">
        <x:v>Responder rest capacity</x:v>
      </x:c>
      <x:c r="B11" s="103" t="n">
        <x:v>100</x:v>
      </x:c>
      <x:c r="C11" s="57" t="str">
        <x:v>people/module</x:v>
      </x:c>
      <x:c r="D11" s="57" t="str">
        <x:v>Filtered sleep and recovery</x:v>
      </x:c>
      <x:c r="E11" s="57" t="str">
        <x:v>Design assumption</x:v>
      </x:c>
    </x:row>
    <x:row r="12">
      <x:c r="A12" s="57" t="str">
        <x:v>Responder rest interval</x:v>
      </x:c>
      <x:c r="B12" s="103" t="n">
        <x:v>8</x:v>
      </x:c>
      <x:c r="C12" s="57" t="str">
        <x:v>hours/day</x:v>
      </x:c>
      <x:c r="D12" s="57" t="str">
        <x:v>Protected recovery period</x:v>
      </x:c>
      <x:c r="E12" s="57" t="str">
        <x:v>Design assumption</x:v>
      </x:c>
    </x:row>
    <x:row r="13">
      <x:c r="A13" s="57"/>
      <x:c r="B13" s="57"/>
      <x:c r="C13" s="57"/>
      <x:c r="D13" s="57"/>
      <x:c r="E13" s="57"/>
    </x:row>
    <x:row r="14">
      <x:c r="A14" s="57"/>
      <x:c r="B14" s="57"/>
      <x:c r="C14" s="57"/>
      <x:c r="D14" s="57"/>
      <x:c r="E14" s="57"/>
    </x:row>
    <x:row r="15">
      <x:c r="A15" s="62" t="str">
        <x:v>Protection result</x:v>
      </x:c>
      <x:c r="B15" s="63"/>
      <x:c r="C15" s="63"/>
      <x:c r="D15" s="63"/>
      <x:c r="E15" s="64"/>
    </x:row>
    <x:row r="16">
      <x:c r="A16" s="10" t="str">
        <x:v>Metric</x:v>
      </x:c>
      <x:c r="B16" s="11" t="str">
        <x:v>Value</x:v>
      </x:c>
      <x:c r="C16" s="11" t="str">
        <x:v>Unit</x:v>
      </x:c>
      <x:c r="D16" s="11" t="str">
        <x:v>Interpretation</x:v>
      </x:c>
      <x:c r="E16" s="12" t="str">
        <x:v>Limit</x:v>
      </x:c>
    </x:row>
    <x:row r="17">
      <x:c r="A17" s="57" t="str">
        <x:v>Public protected capacity</x:v>
      </x:c>
      <x:c r="B17" s="77" t="n">
        <x:f>B5*B6*B8</x:f>
        <x:v>10800</x:v>
      </x:c>
      <x:c r="C17" s="57" t="str">
        <x:v>people concurrent</x:v>
      </x:c>
      <x:c r="D17" s="57" t="str">
        <x:v>Modules × capacity × availability</x:v>
      </x:c>
      <x:c r="E17" s="57" t="str">
        <x:v>Access and exposure thresholds assumed</x:v>
      </x:c>
    </x:row>
    <x:row r="18">
      <x:c r="A18" s="57" t="str">
        <x:v>Public protected person-hours</x:v>
      </x:c>
      <x:c r="B18" s="77" t="n">
        <x:f>B17*B7*B9</x:f>
        <x:v>146880</x:v>
      </x:c>
      <x:c r="C18" s="57" t="str">
        <x:v>person-hours/day</x:v>
      </x:c>
      <x:c r="D18" s="57" t="str">
        <x:v>Capacity × hours × occupancy</x:v>
      </x:c>
      <x:c r="E18" s="57" t="str">
        <x:v>Not avoided morbidity</x:v>
      </x:c>
    </x:row>
    <x:row r="19">
      <x:c r="A19" s="57" t="str">
        <x:v>Smoke-zone daily coverage</x:v>
      </x:c>
      <x:c r="B19" s="76" t="n">
        <x:f>IF('Fire Cases'!$B$20=0,1,MIN(1,B18/('Fire Cases'!$B$20*24)))</x:f>
        <x:v>0.0612</x:v>
      </x:c>
      <x:c r="C19" s="57" t="str">
        <x:v>% person-day</x:v>
      </x:c>
      <x:c r="D19" s="57" t="str">
        <x:v>Protected hours / population × 24</x:v>
      </x:c>
      <x:c r="E19" s="57" t="str">
        <x:v>Population distribution omitted</x:v>
      </x:c>
    </x:row>
    <x:row r="20">
      <x:c r="A20" s="57" t="str">
        <x:v>Responder protected rest-hours</x:v>
      </x:c>
      <x:c r="B20" s="65" t="n">
        <x:f>B5*B11*B12*B8</x:f>
        <x:v>17280</x:v>
      </x:c>
      <x:c r="C20" s="57" t="str">
        <x:v>person-hours/day</x:v>
      </x:c>
      <x:c r="D20" s="57" t="str">
        <x:v>Modules × rest capacity × interval × availability</x:v>
      </x:c>
      <x:c r="E20" s="57" t="str">
        <x:v>Shift scheduling omitted</x:v>
      </x:c>
    </x:row>
    <x:row r="21">
      <x:c r="A21" s="57" t="str">
        <x:v>Electric demand</x:v>
      </x:c>
      <x:c r="B21" s="65" t="n">
        <x:f>B5*B10</x:f>
        <x:v>6</x:v>
      </x:c>
      <x:c r="C21" s="57" t="str">
        <x:v>MW</x:v>
      </x:c>
      <x:c r="D21" s="57" t="str">
        <x:v>Modules × load</x:v>
      </x:c>
      <x:c r="E21" s="57" t="str">
        <x:v>Climate/building profile omitted</x:v>
      </x:c>
    </x:row>
    <x:row r="22">
      <x:c r="A22" s="57" t="str">
        <x:v>Unserved smoke-zone person-hours</x:v>
      </x:c>
      <x:c r="B22" s="65" t="n">
        <x:f>MAX(0,'Fire Cases'!$B$20*24-B18)</x:f>
        <x:v>2253120</x:v>
      </x:c>
      <x:c r="C22" s="57" t="str">
        <x:v>person-hours/day</x:v>
      </x:c>
      <x:c r="D22" s="57" t="str">
        <x:v>Population × 24 less public protection</x:v>
      </x:c>
      <x:c r="E22" s="57" t="str">
        <x:v>Shelter-in-place alternatives omitted</x:v>
      </x:c>
    </x:row>
    <x:row r="23">
      <x:c r="A23" s="57"/>
      <x:c r="B23" s="57"/>
      <x:c r="C23" s="57"/>
      <x:c r="D23" s="57"/>
      <x:c r="E23" s="57"/>
    </x:row>
    <x:row r="24">
      <x:c r="A24" s="57"/>
      <x:c r="B24" s="57"/>
      <x:c r="C24" s="57"/>
      <x:c r="D24" s="57"/>
      <x:c r="E24" s="57"/>
    </x:row>
    <x:row r="25">
      <x:c r="A25" s="125" t="str">
        <x:v>Effect rule</x:v>
      </x:c>
      <x:c r="B25" s="125" t="str">
        <x:v>Capacity is not credited unless it is available and occupied. The workbook does not claim a medical outcome from protected person-hours.</x:v>
      </x:c>
      <x:c r="C25" s="125"/>
      <x:c r="D25" s="125"/>
      <x:c r="E25" s="125"/>
    </x:row>
    <x:row r="26">
      <x:c r="A26" s="125" t="str">
        <x:v>Dependency</x:v>
      </x:c>
      <x:c r="B26" s="125" t="str">
        <x:v>Electric demand must be supplied by the incident or local grid. Clean-air modules do not create their own assured energy in this configuration.</x:v>
      </x:c>
      <x:c r="C26" s="125"/>
      <x:c r="D26" s="125"/>
      <x:c r="E26" s="125"/>
    </x:row>
  </x:sheetData>
  <x:mergeCells>
    <x:mergeCell ref="B25:E25"/>
    <x:mergeCell ref="B26:E26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7" hidden="0" customWidth="1"/>
    <x:col min="7" max="7" width="24" hidden="0" customWidth="1"/>
    <x:col min="8" max="8" width="38" hidden="0" customWidth="1"/>
    <x:col min="9" max="9" width="22" hidden="0" customWidth="1"/>
  </x:cols>
  <x:sheetData>
    <x:row r="1">
      <x:c r="A1" s="121" t="str">
        <x:v>Preliminary deployment manifest</x:v>
      </x:c>
      <x:c r="B1" s="56"/>
      <x:c r="C1" s="56"/>
      <x:c r="D1" s="56"/>
      <x:c r="E1" s="56"/>
      <x:c r="F1" s="56"/>
      <x:c r="G1" s="56"/>
      <x:c r="H1" s="56"/>
      <x:c r="I1" s="56"/>
    </x:row>
    <x:row r="2">
      <x:c r="A2" s="119" t="str">
        <x:v>Dry mass screen for the selected package. Operating water and fuel, detailed spares, foundations and route-specific transport are not closed.</x:v>
      </x:c>
      <x:c r="B2" s="119"/>
      <x:c r="C2" s="119"/>
      <x:c r="D2" s="119"/>
      <x:c r="E2" s="119"/>
      <x:c r="F2" s="119"/>
      <x:c r="G2" s="119"/>
      <x:c r="H2" s="119"/>
      <x:c r="I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</x:row>
    <x:row r="4">
      <x:c r="A4" s="10" t="str">
        <x:v>Element</x:v>
      </x:c>
      <x:c r="B4" s="11" t="str">
        <x:v>Quantity</x:v>
      </x:c>
      <x:c r="C4" s="11" t="str">
        <x:v>Unit mass (t)</x:v>
      </x:c>
      <x:c r="D4" s="11" t="str">
        <x:v>Subtotal (t)</x:v>
      </x:c>
      <x:c r="E4" s="11" t="str">
        <x:v>Self-deploy share</x:v>
      </x:c>
      <x:c r="F4" s="11" t="str">
        <x:v>External lift (t)</x:v>
      </x:c>
      <x:c r="G4" s="11" t="str">
        <x:v>Primary movement</x:v>
      </x:c>
      <x:c r="H4" s="11" t="str">
        <x:v>Mass basis</x:v>
      </x:c>
      <x:c r="I4" s="12" t="str">
        <x:v>Evidence class</x:v>
      </x:c>
    </x:row>
    <x:row r="5">
      <x:c r="A5" s="57" t="str">
        <x:v>FA-1 sentinels</x:v>
      </x:c>
      <x:c r="B5" s="104" t="n">
        <x:f>'Controls'!$C$34</x:f>
        <x:v>12</x:v>
      </x:c>
      <x:c r="C5" s="103" t="n">
        <x:v>8</x:v>
      </x:c>
      <x:c r="D5" s="104" t="n">
        <x:f>B5*C5</x:f>
        <x:v>96</x:v>
      </x:c>
      <x:c r="E5" s="60" t="n">
        <x:v>1</x:v>
      </x:c>
      <x:c r="F5" s="104" t="n">
        <x:f>D5*(1-E5)</x:f>
        <x:v>0</x:v>
      </x:c>
      <x:c r="G5" s="57" t="str">
        <x:v>Ferry flight</x:v>
      </x:c>
      <x:c r="H5" s="57" t="str">
        <x:v>Aircraft family mass</x:v>
      </x:c>
      <x:c r="I5" s="57" t="str">
        <x:v>Design assumption</x:v>
      </x:c>
    </x:row>
    <x:row r="6">
      <x:c r="A6" s="57" t="str">
        <x:v>FA-2 rapid aircraft</x:v>
      </x:c>
      <x:c r="B6" s="104" t="n">
        <x:f>'Controls'!$C$35</x:f>
        <x:v>24</x:v>
      </x:c>
      <x:c r="C6" s="103" t="n">
        <x:v>12</x:v>
      </x:c>
      <x:c r="D6" s="104" t="n">
        <x:f>B6*C6</x:f>
        <x:v>288</x:v>
      </x:c>
      <x:c r="E6" s="60" t="n">
        <x:v>1</x:v>
      </x:c>
      <x:c r="F6" s="104" t="n">
        <x:f>D6*(1-E6)</x:f>
        <x:v>0</x:v>
      </x:c>
      <x:c r="G6" s="57" t="str">
        <x:v>Ferry flight</x:v>
      </x:c>
      <x:c r="H6" s="57" t="str">
        <x:v>Aircraft family mass</x:v>
      </x:c>
      <x:c r="I6" s="57" t="str">
        <x:v>Design assumption</x:v>
      </x:c>
    </x:row>
    <x:row r="7">
      <x:c r="A7" s="57" t="str">
        <x:v>FA-3 amphibious aircraft</x:v>
      </x:c>
      <x:c r="B7" s="104" t="n">
        <x:f>'Controls'!$C$36</x:f>
        <x:v>16</x:v>
      </x:c>
      <x:c r="C7" s="103" t="n">
        <x:v>25</x:v>
      </x:c>
      <x:c r="D7" s="104" t="n">
        <x:f>B7*C7</x:f>
        <x:v>400</x:v>
      </x:c>
      <x:c r="E7" s="60" t="n">
        <x:v>1</x:v>
      </x:c>
      <x:c r="F7" s="104" t="n">
        <x:f>D7*(1-E7)</x:f>
        <x:v>0</x:v>
      </x:c>
      <x:c r="G7" s="57" t="str">
        <x:v>Ferry flight</x:v>
      </x:c>
      <x:c r="H7" s="57" t="str">
        <x:v>Aircraft family mass</x:v>
      </x:c>
      <x:c r="I7" s="57" t="str">
        <x:v>Design assumption</x:v>
      </x:c>
    </x:row>
    <x:row r="8">
      <x:c r="A8" s="57" t="str">
        <x:v>FA-4 heavy aircraft</x:v>
      </x:c>
      <x:c r="B8" s="104" t="n">
        <x:f>'Controls'!$C$37</x:f>
        <x:v>12</x:v>
      </x:c>
      <x:c r="C8" s="103" t="n">
        <x:v>80</x:v>
      </x:c>
      <x:c r="D8" s="104" t="n">
        <x:f>B8*C8</x:f>
        <x:v>960</x:v>
      </x:c>
      <x:c r="E8" s="60" t="n">
        <x:v>1</x:v>
      </x:c>
      <x:c r="F8" s="104" t="n">
        <x:f>D8*(1-E8)</x:f>
        <x:v>0</x:v>
      </x:c>
      <x:c r="G8" s="57" t="str">
        <x:v>Ferry flight</x:v>
      </x:c>
      <x:c r="H8" s="57" t="str">
        <x:v>Aircraft family mass</x:v>
      </x:c>
      <x:c r="I8" s="57" t="str">
        <x:v>Design assumption</x:v>
      </x:c>
    </x:row>
    <x:row r="9">
      <x:c r="A9" s="57" t="str">
        <x:v>FA-5 precision rotorcraft</x:v>
      </x:c>
      <x:c r="B9" s="104" t="n">
        <x:f>'Controls'!$C$38</x:f>
        <x:v>18</x:v>
      </x:c>
      <x:c r="C9" s="103" t="n">
        <x:v>18</x:v>
      </x:c>
      <x:c r="D9" s="104" t="n">
        <x:f>B9*C9</x:f>
        <x:v>324</x:v>
      </x:c>
      <x:c r="E9" s="60" t="n">
        <x:v>1</x:v>
      </x:c>
      <x:c r="F9" s="104" t="n">
        <x:f>D9*(1-E9)</x:f>
        <x:v>0</x:v>
      </x:c>
      <x:c r="G9" s="57" t="str">
        <x:v>Ferry or strategic lift</x:v>
      </x:c>
      <x:c r="H9" s="57" t="str">
        <x:v>Aircraft family mass</x:v>
      </x:c>
      <x:c r="I9" s="57" t="str">
        <x:v>Design assumption</x:v>
      </x:c>
    </x:row>
    <x:row r="10">
      <x:c r="A10" s="57" t="str">
        <x:v>Expeditionary base modules</x:v>
      </x:c>
      <x:c r="B10" s="104" t="n">
        <x:f>'Controls'!$C$39</x:f>
        <x:v>6</x:v>
      </x:c>
      <x:c r="C10" s="103" t="n">
        <x:v>500</x:v>
      </x:c>
      <x:c r="D10" s="104" t="n">
        <x:f>B10*C10</x:f>
        <x:v>3000</x:v>
      </x:c>
      <x:c r="E10" s="60" t="n">
        <x:v>0</x:v>
      </x:c>
      <x:c r="F10" s="104" t="n">
        <x:f>D10*(1-E10)</x:f>
        <x:v>3000</x:v>
      </x:c>
      <x:c r="G10" s="57" t="str">
        <x:v>Surface, rail or sealift</x:v>
      </x:c>
      <x:c r="H10" s="57" t="str">
        <x:v>Plant, ramp support and workshops</x:v>
      </x:c>
      <x:c r="I10" s="57" t="str">
        <x:v>Mass assumption</x:v>
      </x:c>
    </x:row>
    <x:row r="11">
      <x:c r="A11" s="57" t="str">
        <x:v>Airspace nodes</x:v>
      </x:c>
      <x:c r="B11" s="104" t="n">
        <x:f>'Controls'!$C$40</x:f>
        <x:v>4</x:v>
      </x:c>
      <x:c r="C11" s="103" t="n">
        <x:v>20</x:v>
      </x:c>
      <x:c r="D11" s="104" t="n">
        <x:f>B11*C11</x:f>
        <x:v>80</x:v>
      </x:c>
      <x:c r="E11" s="60" t="n">
        <x:v>0</x:v>
      </x:c>
      <x:c r="F11" s="104" t="n">
        <x:f>D11*(1-E11)</x:f>
        <x:v>80</x:v>
      </x:c>
      <x:c r="G11" s="57" t="str">
        <x:v>Air or surface</x:v>
      </x:c>
      <x:c r="H11" s="57" t="str">
        <x:v>Portable surveillance and communications</x:v>
      </x:c>
      <x:c r="I11" s="57" t="str">
        <x:v>Mass assumption</x:v>
      </x:c>
    </x:row>
    <x:row r="12">
      <x:c r="A12" s="57" t="str">
        <x:v>Ground crew caches</x:v>
      </x:c>
      <x:c r="B12" s="104" t="n">
        <x:f>'Controls'!$C$41</x:f>
        <x:v>48</x:v>
      </x:c>
      <x:c r="C12" s="103" t="n">
        <x:v>20</x:v>
      </x:c>
      <x:c r="D12" s="104" t="n">
        <x:f>B12*C12</x:f>
        <x:v>960</x:v>
      </x:c>
      <x:c r="E12" s="60" t="n">
        <x:v>0</x:v>
      </x:c>
      <x:c r="F12" s="104" t="n">
        <x:f>D12*(1-E12)</x:f>
        <x:v>960</x:v>
      </x:c>
      <x:c r="G12" s="57" t="str">
        <x:v>Surface</x:v>
      </x:c>
      <x:c r="H12" s="57" t="str">
        <x:v>Tools, vehicles and initial sustainment</x:v>
      </x:c>
      <x:c r="I12" s="57" t="str">
        <x:v>Mass assumption</x:v>
      </x:c>
    </x:row>
    <x:row r="13">
      <x:c r="A13" s="57" t="str">
        <x:v>Conventional dozer teams</x:v>
      </x:c>
      <x:c r="B13" s="104" t="n">
        <x:f>ROUNDUP('Controls'!$C$41/2,0)</x:f>
        <x:v>24</x:v>
      </x:c>
      <x:c r="C13" s="103" t="n">
        <x:v>35</x:v>
      </x:c>
      <x:c r="D13" s="104" t="n">
        <x:f>B13*C13</x:f>
        <x:v>840</x:v>
      </x:c>
      <x:c r="E13" s="60" t="n">
        <x:v>0</x:v>
      </x:c>
      <x:c r="F13" s="104" t="n">
        <x:f>D13*(1-E13)</x:f>
        <x:v>840</x:v>
      </x:c>
      <x:c r="G13" s="57" t="str">
        <x:v>Heavy surface</x:v>
      </x:c>
      <x:c r="H13" s="57" t="str">
        <x:v>Machine, transport and tools</x:v>
      </x:c>
      <x:c r="I13" s="57" t="str">
        <x:v>Mass assumption</x:v>
      </x:c>
    </x:row>
    <x:row r="14">
      <x:c r="A14" s="57" t="str">
        <x:v>Robotic tractors</x:v>
      </x:c>
      <x:c r="B14" s="104" t="n">
        <x:f>'Controls'!$C$42</x:f>
        <x:v>72</x:v>
      </x:c>
      <x:c r="C14" s="103" t="n">
        <x:v>25</x:v>
      </x:c>
      <x:c r="D14" s="104" t="n">
        <x:f>B14*C14</x:f>
        <x:v>1800</x:v>
      </x:c>
      <x:c r="E14" s="60" t="n">
        <x:v>0</x:v>
      </x:c>
      <x:c r="F14" s="104" t="n">
        <x:f>D14*(1-E14)</x:f>
        <x:v>1800</x:v>
      </x:c>
      <x:c r="G14" s="57" t="str">
        <x:v>Heavy surface</x:v>
      </x:c>
      <x:c r="H14" s="57" t="str">
        <x:v>Carrier and mission tools</x:v>
      </x:c>
      <x:c r="I14" s="57" t="str">
        <x:v>Mass assumption</x:v>
      </x:c>
    </x:row>
    <x:row r="15">
      <x:c r="A15" s="57" t="str">
        <x:v>Water systems</x:v>
      </x:c>
      <x:c r="B15" s="104" t="n">
        <x:f>'Controls'!$C$43</x:f>
        <x:v>12</x:v>
      </x:c>
      <x:c r="C15" s="103" t="n">
        <x:v>250</x:v>
      </x:c>
      <x:c r="D15" s="104" t="n">
        <x:f>B15*C15</x:f>
        <x:v>3000</x:v>
      </x:c>
      <x:c r="E15" s="60" t="n">
        <x:v>0</x:v>
      </x:c>
      <x:c r="F15" s="104" t="n">
        <x:f>D15*(1-E15)</x:f>
        <x:v>3000</x:v>
      </x:c>
      <x:c r="G15" s="57" t="str">
        <x:v>Heavy surface</x:v>
      </x:c>
      <x:c r="H15" s="57" t="str">
        <x:v>Pumps, hose/pipe, storage and power</x:v>
      </x:c>
      <x:c r="I15" s="57" t="str">
        <x:v>Mass assumption</x:v>
      </x:c>
    </x:row>
    <x:row r="16">
      <x:c r="A16" s="57" t="str">
        <x:v>Structure-defense caches</x:v>
      </x:c>
      <x:c r="B16" s="104" t="n">
        <x:f>'Controls'!$C$44</x:f>
        <x:v>24</x:v>
      </x:c>
      <x:c r="C16" s="103" t="n">
        <x:v>40</x:v>
      </x:c>
      <x:c r="D16" s="104" t="n">
        <x:f>B16*C16</x:f>
        <x:v>960</x:v>
      </x:c>
      <x:c r="E16" s="60" t="n">
        <x:v>0</x:v>
      </x:c>
      <x:c r="F16" s="104" t="n">
        <x:f>D16*(1-E16)</x:f>
        <x:v>960</x:v>
      </x:c>
      <x:c r="G16" s="57" t="str">
        <x:v>Surface</x:v>
      </x:c>
      <x:c r="H16" s="57" t="str">
        <x:v>Materials, pumps, sensors and vehicles</x:v>
      </x:c>
      <x:c r="I16" s="57" t="str">
        <x:v>Mass assumption</x:v>
      </x:c>
    </x:row>
    <x:row r="17">
      <x:c r="A17" s="57" t="str">
        <x:v>Clean-air modules</x:v>
      </x:c>
      <x:c r="B17" s="104" t="n">
        <x:f>'Controls'!$C$45</x:f>
        <x:v>24</x:v>
      </x:c>
      <x:c r="C17" s="103" t="n">
        <x:v>12</x:v>
      </x:c>
      <x:c r="D17" s="104" t="n">
        <x:f>B17*C17</x:f>
        <x:v>288</x:v>
      </x:c>
      <x:c r="E17" s="60" t="n">
        <x:v>0</x:v>
      </x:c>
      <x:c r="F17" s="104" t="n">
        <x:f>D17*(1-E17)</x:f>
        <x:v>288</x:v>
      </x:c>
      <x:c r="G17" s="57" t="str">
        <x:v>Surface</x:v>
      </x:c>
      <x:c r="H17" s="57" t="str">
        <x:v>HVAC, filters, power interface and shelter</x:v>
      </x:c>
      <x:c r="I17" s="57" t="str">
        <x:v>Mass assumption</x:v>
      </x:c>
    </x:row>
    <x:row r="18">
      <x:c r="A18" s="57" t="str">
        <x:v>Command and sustainment</x:v>
      </x:c>
      <x:c r="B18" s="104" t="n">
        <x:f>1</x:f>
        <x:v>1</x:v>
      </x:c>
      <x:c r="C18" s="104" t="n">
        <x:f>'Controls'!$C$46</x:f>
        <x:v>6000</x:v>
      </x:c>
      <x:c r="D18" s="104" t="n">
        <x:f>B18*C18</x:f>
        <x:v>6000</x:v>
      </x:c>
      <x:c r="E18" s="60" t="n">
        <x:v>0</x:v>
      </x:c>
      <x:c r="F18" s="104" t="n">
        <x:f>D18*(1-E18)</x:f>
        <x:v>6000</x:v>
      </x:c>
      <x:c r="G18" s="57" t="str">
        <x:v>Multimodal</x:v>
      </x:c>
      <x:c r="H18" s="57" t="str">
        <x:v>Common campaign support</x:v>
      </x:c>
      <x:c r="I18" s="57" t="str">
        <x:v>Mass assumption</x:v>
      </x:c>
    </x:row>
    <x:row r="19">
      <x:c r="A19" s="57" t="str">
        <x:v>Three-day retardant stock</x:v>
      </x:c>
      <x:c r="B19" s="104" t="n">
        <x:f>1</x:f>
        <x:v>1</x:v>
      </x:c>
      <x:c r="C19" s="104" t="n">
        <x:f>'Water Agent'!$C$20*3*0.004163</x:f>
        <x:v>17820.504144</x:v>
      </x:c>
      <x:c r="D19" s="104" t="n">
        <x:f>B19*C19</x:f>
        <x:v>17820.504144</x:v>
      </x:c>
      <x:c r="E19" s="60" t="n">
        <x:v>0</x:v>
      </x:c>
      <x:c r="F19" s="104" t="n">
        <x:f>D19*(1-E19)</x:f>
        <x:v>17820.504144</x:v>
      </x:c>
      <x:c r="G19" s="57" t="str">
        <x:v>Surface</x:v>
      </x:c>
      <x:c r="H19" s="57" t="str">
        <x:v>1.1 kg/L finished-mixture screen</x:v>
      </x:c>
      <x:c r="I19" s="57" t="str">
        <x:v>Mass assumption</x:v>
      </x:c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</x:row>
    <x:row r="22">
      <x:c r="A22" s="10" t="str">
        <x:v>Subtotal dry mass</x:v>
      </x:c>
      <x:c r="B22" s="11" t="str">
        <x:v>Contingency</x:v>
      </x:c>
      <x:c r="C22" s="11" t="str">
        <x:v>Dry deployment mass</x:v>
      </x:c>
      <x:c r="D22" s="12" t="str">
        <x:v>External lift mass</x:v>
      </x:c>
      <x:c r="E22" s="57"/>
      <x:c r="F22" s="57"/>
      <x:c r="G22" s="57"/>
      <x:c r="H22" s="57"/>
      <x:c r="I22" s="57"/>
    </x:row>
    <x:row r="23">
      <x:c r="A23" s="65" t="n">
        <x:f>SUM(D5:D19)</x:f>
        <x:v>36816.504144</x:v>
      </x:c>
      <x:c r="B23" s="76" t="n">
        <x:f>'Controls'!$C$9</x:f>
        <x:v>0.15</x:v>
      </x:c>
      <x:c r="C23" s="65" t="n">
        <x:f>A23*(1+B23)</x:f>
        <x:v>42338.979765599994</x:v>
      </x:c>
      <x:c r="D23" s="65" t="n">
        <x:f>SUM(F5:F19)*(1+B23)</x:f>
        <x:v>39960.7797656</x:v>
      </x:c>
      <x:c r="E23" s="57"/>
      <x:c r="F23" s="57"/>
      <x:c r="G23" s="57"/>
      <x:c r="H23" s="57"/>
      <x:c r="I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</x:row>
    <x:row r="26">
      <x:c r="A26" s="125" t="str">
        <x:v>Excluded mass</x:v>
      </x:c>
      <x:c r="B26" s="125" t="str">
        <x:v>Operating aviation fuel, most water, local civil resources, route works, replacement crews and detailed spares are excluded. Aircraft self-deployment does not remove fuel, crew and alternate-base requirements.</x:v>
      </x:c>
      <x:c r="C26" s="125"/>
      <x:c r="D26" s="125"/>
      <x:c r="E26" s="125"/>
      <x:c r="F26" s="125"/>
      <x:c r="G26" s="125"/>
      <x:c r="H26" s="125"/>
      <x:c r="I26" s="125"/>
    </x:row>
    <x:row r="27">
      <x:c r="A27" s="125" t="str">
        <x:v>Retardant density</x:v>
      </x:c>
      <x:c r="B27" s="125" t="str">
        <x:v>The three-day stock uses a provisional 1.1 kg/L finished-mixture density conversion of 0.004163 t/gal. Concentrate configurations may have materially different mass and water needs.</x:v>
      </x:c>
      <x:c r="C27" s="125"/>
      <x:c r="D27" s="125"/>
      <x:c r="E27" s="125"/>
      <x:c r="F27" s="125"/>
      <x:c r="G27" s="125"/>
      <x:c r="H27" s="125"/>
      <x:c r="I27" s="125"/>
    </x:row>
    <x:row r="28">
      <x:c r="A28" s="125" t="str">
        <x:v>Transport</x:v>
      </x:c>
      <x:c r="B28" s="125" t="str">
        <x:v>External lift mass is a first-order quantity, not a movement plan. Dimensions, axle loads, runway, port, rail and arrival sequencing are unmodeled.</x:v>
      </x:c>
      <x:c r="C28" s="125"/>
      <x:c r="D28" s="125"/>
      <x:c r="E28" s="125"/>
      <x:c r="F28" s="125"/>
      <x:c r="G28" s="125"/>
      <x:c r="H28" s="125"/>
      <x:c r="I28" s="125"/>
    </x:row>
  </x:sheetData>
  <x:mergeCells>
    <x:mergeCell ref="B26:I26"/>
    <x:mergeCell ref="B27:I27"/>
    <x:mergeCell ref="B28:I28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23" hidden="0" customWidth="1"/>
    <x:col min="7" max="7" width="22" hidden="0" customWidth="1"/>
    <x:col min="8" max="8" width="18" hidden="0" customWidth="1"/>
    <x:col min="9" max="9" width="28" hidden="0" customWidth="1"/>
  </x:cols>
  <x:sheetData>
    <x:row r="1">
      <x:c r="A1" s="121" t="str">
        <x:v>Shift-complete workforce and service establishment</x:v>
      </x:c>
      <x:c r="B1" s="56"/>
      <x:c r="C1" s="56"/>
      <x:c r="D1" s="56"/>
      <x:c r="E1" s="56"/>
      <x:c r="F1" s="56"/>
      <x:c r="G1" s="56"/>
      <x:c r="H1" s="56"/>
      <x:c r="I1" s="56"/>
    </x:row>
    <x:row r="2">
      <x:c r="A2" s="119" t="str">
        <x:v>The workforce counts the people needed to sustain the package, not only those visible on a fireline or aircraft.</x:v>
      </x:c>
      <x:c r="B2" s="119"/>
      <x:c r="C2" s="119"/>
      <x:c r="D2" s="119"/>
      <x:c r="E2" s="119"/>
      <x:c r="F2" s="119"/>
      <x:c r="G2" s="119"/>
      <x:c r="H2" s="119"/>
      <x:c r="I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</x:row>
    <x:row r="4">
      <x:c r="A4" s="10" t="str">
        <x:v>Function</x:v>
      </x:c>
      <x:c r="B4" s="11" t="str">
        <x:v>Positions/unit/shift</x:v>
      </x:c>
      <x:c r="C4" s="11" t="str">
        <x:v>Units</x:v>
      </x:c>
      <x:c r="D4" s="11" t="str">
        <x:v>Shifts/day</x:v>
      </x:c>
      <x:c r="E4" s="11" t="str">
        <x:v>Relief factor</x:v>
      </x:c>
      <x:c r="F4" s="11" t="str">
        <x:v>Deployed establishment</x:v>
      </x:c>
      <x:c r="G4" s="11" t="str">
        <x:v>Institutional multiplier</x:v>
      </x:c>
      <x:c r="H4" s="11" t="str">
        <x:v>Service billets</x:v>
      </x:c>
      <x:c r="I4" s="12" t="str">
        <x:v>Evidence class</x:v>
      </x:c>
    </x:row>
    <x:row r="5">
      <x:c r="A5" s="57" t="str">
        <x:v>Command, intelligence and safety</x:v>
      </x:c>
      <x:c r="B5" s="81" t="n">
        <x:v>120</x:v>
      </x:c>
      <x:c r="C5" s="65" t="n">
        <x:f>1</x:f>
        <x:v>1</x:v>
      </x:c>
      <x:c r="D5" s="65" t="n">
        <x:f>IF('Controls'!$C$5="Ignition Intercept Cell",2,3)</x:f>
        <x:v>3</x:v>
      </x:c>
      <x:c r="E5" s="59" t="n">
        <x:v>1.2</x:v>
      </x:c>
      <x:c r="F5" s="77" t="n">
        <x:f>B5*C5*D5*E5</x:f>
        <x:v>432</x:v>
      </x:c>
      <x:c r="G5" s="75" t="n">
        <x:f>'Controls'!$C$10</x:f>
        <x:v>3.75</x:v>
      </x:c>
      <x:c r="H5" s="77" t="n">
        <x:f>F5*G5</x:f>
        <x:v>1620</x:v>
      </x:c>
      <x:c r="I5" s="57" t="str">
        <x:v>Force assumption</x:v>
      </x:c>
    </x:row>
    <x:row r="6">
      <x:c r="A6" s="57" t="str">
        <x:v>FA-1 flight crews</x:v>
      </x:c>
      <x:c r="B6" s="81" t="n">
        <x:v>2</x:v>
      </x:c>
      <x:c r="C6" s="65" t="n">
        <x:f>'Controls'!$C$34</x:f>
        <x:v>12</x:v>
      </x:c>
      <x:c r="D6" s="65" t="n">
        <x:f>ROUNDUP('Controls'!$C$32/8,0)</x:f>
        <x:v>3</x:v>
      </x:c>
      <x:c r="E6" s="59" t="n">
        <x:v>1.2</x:v>
      </x:c>
      <x:c r="F6" s="77" t="n">
        <x:f>B6*C6*D6*E6</x:f>
        <x:v>86.39999999999999</x:v>
      </x:c>
      <x:c r="G6" s="75" t="n">
        <x:f>'Controls'!$C$10</x:f>
        <x:v>3.75</x:v>
      </x:c>
      <x:c r="H6" s="77" t="n">
        <x:f>F6*G6</x:f>
        <x:v>323.99999999999994</x:v>
      </x:c>
      <x:c r="I6" s="57" t="str">
        <x:v>Aircraft family assumption</x:v>
      </x:c>
    </x:row>
    <x:row r="7">
      <x:c r="A7" s="57" t="str">
        <x:v>FA-2 flight crews</x:v>
      </x:c>
      <x:c r="B7" s="81" t="n">
        <x:v>2</x:v>
      </x:c>
      <x:c r="C7" s="65" t="n">
        <x:f>'Controls'!$C$35</x:f>
        <x:v>24</x:v>
      </x:c>
      <x:c r="D7" s="65" t="n">
        <x:f>ROUNDUP('Controls'!$C$32/8,0)</x:f>
        <x:v>3</x:v>
      </x:c>
      <x:c r="E7" s="59" t="n">
        <x:v>1.2</x:v>
      </x:c>
      <x:c r="F7" s="77" t="n">
        <x:f>B7*C7*D7*E7</x:f>
        <x:v>172.79999999999998</x:v>
      </x:c>
      <x:c r="G7" s="75" t="n">
        <x:f>'Controls'!$C$10</x:f>
        <x:v>3.75</x:v>
      </x:c>
      <x:c r="H7" s="77" t="n">
        <x:f>F7*G7</x:f>
        <x:v>647.9999999999999</x:v>
      </x:c>
      <x:c r="I7" s="57" t="str">
        <x:v>Aircraft family assumption</x:v>
      </x:c>
    </x:row>
    <x:row r="8">
      <x:c r="A8" s="57" t="str">
        <x:v>FA-3 flight crews</x:v>
      </x:c>
      <x:c r="B8" s="81" t="n">
        <x:v>2</x:v>
      </x:c>
      <x:c r="C8" s="65" t="n">
        <x:f>'Controls'!$C$36</x:f>
        <x:v>16</x:v>
      </x:c>
      <x:c r="D8" s="65" t="n">
        <x:f>ROUNDUP('Controls'!$C$32/8,0)</x:f>
        <x:v>3</x:v>
      </x:c>
      <x:c r="E8" s="59" t="n">
        <x:v>1.2</x:v>
      </x:c>
      <x:c r="F8" s="77" t="n">
        <x:f>B8*C8*D8*E8</x:f>
        <x:v>115.19999999999999</x:v>
      </x:c>
      <x:c r="G8" s="75" t="n">
        <x:f>'Controls'!$C$10</x:f>
        <x:v>3.75</x:v>
      </x:c>
      <x:c r="H8" s="77" t="n">
        <x:f>F8*G8</x:f>
        <x:v>431.99999999999994</x:v>
      </x:c>
      <x:c r="I8" s="57" t="str">
        <x:v>Aircraft family assumption</x:v>
      </x:c>
    </x:row>
    <x:row r="9">
      <x:c r="A9" s="57" t="str">
        <x:v>FA-4 flight crews</x:v>
      </x:c>
      <x:c r="B9" s="81" t="n">
        <x:v>3</x:v>
      </x:c>
      <x:c r="C9" s="65" t="n">
        <x:f>'Controls'!$C$37</x:f>
        <x:v>12</x:v>
      </x:c>
      <x:c r="D9" s="65" t="n">
        <x:f>ROUNDUP('Controls'!$C$32/8,0)</x:f>
        <x:v>3</x:v>
      </x:c>
      <x:c r="E9" s="59" t="n">
        <x:v>1.2</x:v>
      </x:c>
      <x:c r="F9" s="77" t="n">
        <x:f>B9*C9*D9*E9</x:f>
        <x:v>129.6</x:v>
      </x:c>
      <x:c r="G9" s="75" t="n">
        <x:f>'Controls'!$C$10</x:f>
        <x:v>3.75</x:v>
      </x:c>
      <x:c r="H9" s="77" t="n">
        <x:f>F9*G9</x:f>
        <x:v>486</x:v>
      </x:c>
      <x:c r="I9" s="57" t="str">
        <x:v>Aircraft family assumption</x:v>
      </x:c>
    </x:row>
    <x:row r="10">
      <x:c r="A10" s="57" t="str">
        <x:v>FA-5 flight crews</x:v>
      </x:c>
      <x:c r="B10" s="81" t="n">
        <x:v>2</x:v>
      </x:c>
      <x:c r="C10" s="65" t="n">
        <x:f>'Controls'!$C$38</x:f>
        <x:v>18</x:v>
      </x:c>
      <x:c r="D10" s="65" t="n">
        <x:f>ROUNDUP('Controls'!$C$32/8,0)</x:f>
        <x:v>3</x:v>
      </x:c>
      <x:c r="E10" s="59" t="n">
        <x:v>1.2</x:v>
      </x:c>
      <x:c r="F10" s="77" t="n">
        <x:f>B10*C10*D10*E10</x:f>
        <x:v>129.6</x:v>
      </x:c>
      <x:c r="G10" s="75" t="n">
        <x:f>'Controls'!$C$10</x:f>
        <x:v>3.75</x:v>
      </x:c>
      <x:c r="H10" s="77" t="n">
        <x:f>F10*G10</x:f>
        <x:v>486</x:v>
      </x:c>
      <x:c r="I10" s="57" t="str">
        <x:v>Aircraft family assumption</x:v>
      </x:c>
    </x:row>
    <x:row r="11">
      <x:c r="A11" s="57" t="str">
        <x:v>Aviation maintenance</x:v>
      </x:c>
      <x:c r="B11" s="81" t="n">
        <x:v>12</x:v>
      </x:c>
      <x:c r="C11" s="65" t="n">
        <x:f>SUM('Controls'!$C$34:$C$38)</x:f>
        <x:v>82</x:v>
      </x:c>
      <x:c r="D11" s="65" t="n">
        <x:f>2</x:f>
        <x:v>2</x:v>
      </x:c>
      <x:c r="E11" s="59" t="n">
        <x:v>1.15</x:v>
      </x:c>
      <x:c r="F11" s="77" t="n">
        <x:f>B11*C11*D11*E11</x:f>
        <x:v>2263.2</x:v>
      </x:c>
      <x:c r="G11" s="75" t="n">
        <x:f>'Controls'!$C$10</x:f>
        <x:v>3.75</x:v>
      </x:c>
      <x:c r="H11" s="77" t="n">
        <x:f>F11*G11</x:f>
        <x:v>8487</x:v>
      </x:c>
      <x:c r="I11" s="57" t="str">
        <x:v>Force assumption</x:v>
      </x:c>
    </x:row>
    <x:row r="12">
      <x:c r="A12" s="57" t="str">
        <x:v>Air base operations</x:v>
      </x:c>
      <x:c r="B12" s="81" t="n">
        <x:v>35</x:v>
      </x:c>
      <x:c r="C12" s="65" t="n">
        <x:f>'Controls'!$C$39</x:f>
        <x:v>6</x:v>
      </x:c>
      <x:c r="D12" s="65" t="n">
        <x:f>ROUNDUP('Controls'!$C$32/8,0)</x:f>
        <x:v>3</x:v>
      </x:c>
      <x:c r="E12" s="59" t="n">
        <x:v>1.2</x:v>
      </x:c>
      <x:c r="F12" s="77" t="n">
        <x:f>B12*C12*D12*E12</x:f>
        <x:v>756</x:v>
      </x:c>
      <x:c r="G12" s="75" t="n">
        <x:f>'Controls'!$C$10</x:f>
        <x:v>3.75</x:v>
      </x:c>
      <x:c r="H12" s="77" t="n">
        <x:f>F12*G12</x:f>
        <x:v>2835</x:v>
      </x:c>
      <x:c r="I12" s="57" t="str">
        <x:v>Force assumption</x:v>
      </x:c>
    </x:row>
    <x:row r="13">
      <x:c r="A13" s="57" t="str">
        <x:v>Airspace management</x:v>
      </x:c>
      <x:c r="B13" s="81" t="n">
        <x:v>12</x:v>
      </x:c>
      <x:c r="C13" s="65" t="n">
        <x:f>'Controls'!$C$40</x:f>
        <x:v>4</x:v>
      </x:c>
      <x:c r="D13" s="65" t="n">
        <x:f>ROUNDUP('Controls'!$C$32/8,0)</x:f>
        <x:v>3</x:v>
      </x:c>
      <x:c r="E13" s="59" t="n">
        <x:v>1.2</x:v>
      </x:c>
      <x:c r="F13" s="77" t="n">
        <x:f>B13*C13*D13*E13</x:f>
        <x:v>172.79999999999998</x:v>
      </x:c>
      <x:c r="G13" s="75" t="n">
        <x:f>'Controls'!$C$10</x:f>
        <x:v>3.75</x:v>
      </x:c>
      <x:c r="H13" s="77" t="n">
        <x:f>F13*G13</x:f>
        <x:v>647.9999999999999</x:v>
      </x:c>
      <x:c r="I13" s="57" t="str">
        <x:v>Force assumption</x:v>
      </x:c>
    </x:row>
    <x:row r="14">
      <x:c r="A14" s="57" t="str">
        <x:v>Ground crews</x:v>
      </x:c>
      <x:c r="B14" s="81" t="n">
        <x:v>20</x:v>
      </x:c>
      <x:c r="C14" s="65" t="n">
        <x:f>'Controls'!$C$41</x:f>
        <x:v>48</x:v>
      </x:c>
      <x:c r="D14" s="65" t="n">
        <x:f>2</x:f>
        <x:v>2</x:v>
      </x:c>
      <x:c r="E14" s="59" t="n">
        <x:v>1.3</x:v>
      </x:c>
      <x:c r="F14" s="77" t="n">
        <x:f>B14*C14*D14*E14</x:f>
        <x:v>2496</x:v>
      </x:c>
      <x:c r="G14" s="75" t="n">
        <x:f>'Controls'!$C$10</x:f>
        <x:v>3.75</x:v>
      </x:c>
      <x:c r="H14" s="77" t="n">
        <x:f>F14*G14</x:f>
        <x:v>9360</x:v>
      </x:c>
      <x:c r="I14" s="57" t="str">
        <x:v>NWCG-bounded force assumption</x:v>
      </x:c>
    </x:row>
    <x:row r="15">
      <x:c r="A15" s="57" t="str">
        <x:v>Conventional dozer teams</x:v>
      </x:c>
      <x:c r="B15" s="81" t="n">
        <x:v>4</x:v>
      </x:c>
      <x:c r="C15" s="65" t="n">
        <x:f>ROUNDUP('Controls'!$C$41/2,0)</x:f>
        <x:v>24</x:v>
      </x:c>
      <x:c r="D15" s="65" t="n">
        <x:f>2</x:f>
        <x:v>2</x:v>
      </x:c>
      <x:c r="E15" s="59" t="n">
        <x:v>1.2</x:v>
      </x:c>
      <x:c r="F15" s="77" t="n">
        <x:f>B15*C15*D15*E15</x:f>
        <x:v>230.39999999999998</x:v>
      </x:c>
      <x:c r="G15" s="75" t="n">
        <x:f>'Controls'!$C$10</x:f>
        <x:v>3.75</x:v>
      </x:c>
      <x:c r="H15" s="77" t="n">
        <x:f>F15*G15</x:f>
        <x:v>863.9999999999999</x:v>
      </x:c>
      <x:c r="I15" s="57" t="str">
        <x:v>Force assumption</x:v>
      </x:c>
    </x:row>
    <x:row r="16">
      <x:c r="A16" s="57" t="str">
        <x:v>Robotic tractor teams</x:v>
      </x:c>
      <x:c r="B16" s="81" t="n">
        <x:v>3</x:v>
      </x:c>
      <x:c r="C16" s="65" t="n">
        <x:f>'Controls'!$C$42</x:f>
        <x:v>72</x:v>
      </x:c>
      <x:c r="D16" s="65" t="n">
        <x:f>ROUNDUP('Controls'!$C$33/8,0)</x:f>
        <x:v>3</x:v>
      </x:c>
      <x:c r="E16" s="59" t="n">
        <x:v>1.2</x:v>
      </x:c>
      <x:c r="F16" s="77" t="n">
        <x:f>B16*C16*D16*E16</x:f>
        <x:v>777.6</x:v>
      </x:c>
      <x:c r="G16" s="75" t="n">
        <x:f>'Controls'!$C$10</x:f>
        <x:v>3.75</x:v>
      </x:c>
      <x:c r="H16" s="77" t="n">
        <x:f>F16*G16</x:f>
        <x:v>2916</x:v>
      </x:c>
      <x:c r="I16" s="57" t="str">
        <x:v>Technology assumption</x:v>
      </x:c>
    </x:row>
    <x:row r="17">
      <x:c r="A17" s="57" t="str">
        <x:v>Water system crews</x:v>
      </x:c>
      <x:c r="B17" s="81" t="n">
        <x:v>20</x:v>
      </x:c>
      <x:c r="C17" s="65" t="n">
        <x:f>'Controls'!$C$43</x:f>
        <x:v>12</x:v>
      </x:c>
      <x:c r="D17" s="65" t="n">
        <x:f>ROUNDUP('Controls'!$C$33/8,0)</x:f>
        <x:v>3</x:v>
      </x:c>
      <x:c r="E17" s="59" t="n">
        <x:v>1.2</x:v>
      </x:c>
      <x:c r="F17" s="77" t="n">
        <x:f>B17*C17*D17*E17</x:f>
        <x:v>864</x:v>
      </x:c>
      <x:c r="G17" s="75" t="n">
        <x:f>'Controls'!$C$10</x:f>
        <x:v>3.75</x:v>
      </x:c>
      <x:c r="H17" s="77" t="n">
        <x:f>F17*G17</x:f>
        <x:v>3240</x:v>
      </x:c>
      <x:c r="I17" s="57" t="str">
        <x:v>Force assumption</x:v>
      </x:c>
    </x:row>
    <x:row r="18">
      <x:c r="A18" s="57" t="str">
        <x:v>Structure-defense teams</x:v>
      </x:c>
      <x:c r="B18" s="81" t="n">
        <x:v>12</x:v>
      </x:c>
      <x:c r="C18" s="65" t="n">
        <x:f>'Controls'!$C$44</x:f>
        <x:v>24</x:v>
      </x:c>
      <x:c r="D18" s="65" t="n">
        <x:f>2</x:f>
        <x:v>2</x:v>
      </x:c>
      <x:c r="E18" s="59" t="n">
        <x:v>1.25</x:v>
      </x:c>
      <x:c r="F18" s="77" t="n">
        <x:f>B18*C18*D18*E18</x:f>
        <x:v>720</x:v>
      </x:c>
      <x:c r="G18" s="75" t="n">
        <x:f>'Controls'!$C$10</x:f>
        <x:v>3.75</x:v>
      </x:c>
      <x:c r="H18" s="77" t="n">
        <x:f>F18*G18</x:f>
        <x:v>2700</x:v>
      </x:c>
      <x:c r="I18" s="57" t="str">
        <x:v>Force assumption</x:v>
      </x:c>
    </x:row>
    <x:row r="19">
      <x:c r="A19" s="57" t="str">
        <x:v>Smoke and thermal teams</x:v>
      </x:c>
      <x:c r="B19" s="81" t="n">
        <x:v>6</x:v>
      </x:c>
      <x:c r="C19" s="65" t="n">
        <x:f>'Controls'!$C$45</x:f>
        <x:v>24</x:v>
      </x:c>
      <x:c r="D19" s="65" t="n">
        <x:f>3</x:f>
        <x:v>3</x:v>
      </x:c>
      <x:c r="E19" s="59" t="n">
        <x:v>1.2</x:v>
      </x:c>
      <x:c r="F19" s="77" t="n">
        <x:f>B19*C19*D19*E19</x:f>
        <x:v>518.4</x:v>
      </x:c>
      <x:c r="G19" s="75" t="n">
        <x:f>'Controls'!$C$10</x:f>
        <x:v>3.75</x:v>
      </x:c>
      <x:c r="H19" s="77" t="n">
        <x:f>F19*G19</x:f>
        <x:v>1944</x:v>
      </x:c>
      <x:c r="I19" s="57" t="str">
        <x:v>Force assumption</x:v>
      </x:c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</x:row>
    <x:row r="22">
      <x:c r="A22" s="10" t="str">
        <x:v>Direct deployed establishment</x:v>
      </x:c>
      <x:c r="B22" s="11" t="str">
        <x:v>Common logistics and medical</x:v>
      </x:c>
      <x:c r="C22" s="11" t="str">
        <x:v>Total deployed establishment</x:v>
      </x:c>
      <x:c r="D22" s="12" t="str">
        <x:v>Total service billets</x:v>
      </x:c>
      <x:c r="E22" s="57"/>
      <x:c r="F22" s="57"/>
      <x:c r="G22" s="57"/>
      <x:c r="H22" s="57"/>
      <x:c r="I22" s="57"/>
    </x:row>
    <x:row r="23">
      <x:c r="A23" s="77" t="n">
        <x:f>SUM(F5:F19)</x:f>
        <x:v>9863.999999999998</x:v>
      </x:c>
      <x:c r="B23" s="77" t="n">
        <x:f>A23*0.25</x:f>
        <x:v>2465.9999999999995</x:v>
      </x:c>
      <x:c r="C23" s="77" t="n">
        <x:f>A23+B23</x:f>
        <x:v>12329.999999999998</x:v>
      </x:c>
      <x:c r="D23" s="77" t="n">
        <x:f>C23*'Controls'!$C$10</x:f>
        <x:v>46237.49999999999</x:v>
      </x:c>
      <x:c r="E23" s="57"/>
      <x:c r="F23" s="57"/>
      <x:c r="G23" s="57"/>
      <x:c r="H23" s="57"/>
      <x:c r="I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</x:row>
    <x:row r="26">
      <x:c r="A26" s="125" t="str">
        <x:v>No massless autonomy</x:v>
      </x:c>
      <x:c r="B26" s="125" t="str">
        <x:v>Robotic systems add operators, recovery, software assurance, sensor maintenance and cyber support. Their value is exposure-adjusted effect, not a zero-person promise.</x:v>
      </x:c>
      <x:c r="C26" s="125"/>
      <x:c r="D26" s="125"/>
      <x:c r="E26" s="125"/>
      <x:c r="F26" s="125"/>
      <x:c r="G26" s="125"/>
      <x:c r="H26" s="125"/>
      <x:c r="I26" s="125"/>
    </x:row>
    <x:row r="27">
      <x:c r="A27" s="125" t="str">
        <x:v>Open evidence</x:v>
      </x:c>
      <x:c r="B27" s="125" t="str">
        <x:v>Occupation mix, duty limits, training throughput, attrition, reserve participation, medical restriction and campaign replacement require a separate workforce model.</x:v>
      </x:c>
      <x:c r="C27" s="125"/>
      <x:c r="D27" s="125"/>
      <x:c r="E27" s="125"/>
      <x:c r="F27" s="125"/>
      <x:c r="G27" s="125"/>
      <x:c r="H27" s="125"/>
      <x:c r="I27" s="125"/>
    </x:row>
  </x:sheetData>
  <x:mergeCells>
    <x:mergeCell ref="B26:I26"/>
    <x:mergeCell ref="B27:I27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2" hidden="0" customWidth="1"/>
    <x:col min="5" max="5" width="14" hidden="0" customWidth="1"/>
    <x:col min="6" max="6" width="15" hidden="0" customWidth="1"/>
    <x:col min="7" max="7" width="18" hidden="0" customWidth="1"/>
    <x:col min="8" max="8" width="18" hidden="0" customWidth="1"/>
    <x:col min="9" max="9" width="16" hidden="0" customWidth="1"/>
    <x:col min="10" max="10" width="22" hidden="0" customWidth="1"/>
  </x:cols>
  <x:sheetData>
    <x:row r="1">
      <x:c r="A1" s="121" t="str">
        <x:v>National readiness and concurrency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>
      <x:c r="A2" s="119" t="str">
        <x:v>Package counts and fleet order of battle are explicit force assumptions. Geographic covariance, travel time and campaign regeneration remain outside this screen.</x:v>
      </x:c>
      <x:c r="B2" s="119"/>
      <x:c r="C2" s="119"/>
      <x:c r="D2" s="119"/>
      <x:c r="E2" s="119"/>
      <x:c r="F2" s="119"/>
      <x:c r="G2" s="119"/>
      <x:c r="H2" s="119"/>
      <x:c r="I2" s="119"/>
      <x:c r="J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</x:row>
    <x:row r="4">
      <x:c r="A4" s="10" t="str">
        <x:v>Package</x:v>
      </x:c>
      <x:c r="B4" s="11" t="str">
        <x:v>Planned</x:v>
      </x:c>
      <x:c r="C4" s="11" t="str">
        <x:v>Readiness rate</x:v>
      </x:c>
      <x:c r="D4" s="11" t="str">
        <x:v>Ready now</x:v>
      </x:c>
      <x:c r="E4" s="11" t="str">
        <x:v>Required concurrent</x:v>
      </x:c>
      <x:c r="F4" s="11" t="str">
        <x:v>Residual ready</x:v>
      </x:c>
      <x:c r="G4" s="12" t="str">
        <x:v>Result</x:v>
      </x:c>
      <x:c r="H4" s="57"/>
      <x:c r="I4" s="57"/>
      <x:c r="J4" s="57"/>
    </x:row>
    <x:row r="5">
      <x:c r="A5" s="57" t="str">
        <x:v>Ignition Intercept Cell</x:v>
      </x:c>
      <x:c r="B5" s="77" t="n">
        <x:f>'Controls'!$C$15</x:f>
        <x:v>30</x:v>
      </x:c>
      <x:c r="C5" s="76" t="n">
        <x:f>'Controls'!$C$19</x:f>
        <x:v>0.75</x:v>
      </x:c>
      <x:c r="D5" s="77" t="n">
        <x:f>INT(B5*C5)</x:f>
        <x:v>22</x:v>
      </x:c>
      <x:c r="E5" s="77" t="n">
        <x:f>'Controls'!$C$17</x:f>
        <x:v>12</x:v>
      </x:c>
      <x:c r="F5" s="77" t="n">
        <x:f>D5-E5</x:f>
        <x:v>10</x:v>
      </x:c>
      <x:c r="G5" s="92" t="str">
        <x:f>IF(F5&gt;=0,"Meets package count","Package shortfall")</x:f>
        <x:v>Meets package count</x:v>
      </x:c>
      <x:c r="H5" s="57"/>
      <x:c r="I5" s="57"/>
      <x:c r="J5" s="57"/>
    </x:row>
    <x:row r="6">
      <x:c r="A6" s="57" t="str">
        <x:v>Integrated Fire Control Group</x:v>
      </x:c>
      <x:c r="B6" s="77" t="n">
        <x:f>'Controls'!$C$16</x:f>
        <x:v>8</x:v>
      </x:c>
      <x:c r="C6" s="76" t="n">
        <x:f>'Controls'!$C$19</x:f>
        <x:v>0.75</x:v>
      </x:c>
      <x:c r="D6" s="77" t="n">
        <x:f>INT(B6*C6)</x:f>
        <x:v>6</x:v>
      </x:c>
      <x:c r="E6" s="77" t="n">
        <x:f>'Controls'!$C$18</x:f>
        <x:v>3</x:v>
      </x:c>
      <x:c r="F6" s="77" t="n">
        <x:f>D6-E6</x:f>
        <x:v>3</x:v>
      </x:c>
      <x:c r="G6" s="92" t="str">
        <x:f>IF(F6&gt;=0,"Meets package count","Package shortfall")</x:f>
        <x:v>Meets package count</x:v>
      </x:c>
      <x:c r="H6" s="57"/>
      <x:c r="I6" s="57"/>
      <x:c r="J6" s="57"/>
    </x:row>
    <x:row r="7">
      <x:c r="A7" s="57"/>
      <x:c r="B7" s="57"/>
      <x:c r="C7" s="57"/>
      <x:c r="D7" s="57"/>
      <x:c r="E7" s="57"/>
      <x:c r="F7" s="57"/>
      <x:c r="G7" s="57"/>
      <x:c r="H7" s="57"/>
      <x:c r="I7" s="57"/>
      <x:c r="J7" s="57"/>
    </x:row>
    <x:row r="8">
      <x:c r="A8" s="57"/>
      <x:c r="B8" s="57"/>
      <x:c r="C8" s="57"/>
      <x:c r="D8" s="57"/>
      <x:c r="E8" s="57"/>
      <x:c r="F8" s="57"/>
      <x:c r="G8" s="57"/>
      <x:c r="H8" s="57"/>
      <x:c r="I8" s="57"/>
      <x:c r="J8" s="57"/>
    </x:row>
    <x:row r="9">
      <x:c r="A9" s="62" t="str">
        <x:v>Illustrative aircraft order of battle</x:v>
      </x:c>
      <x:c r="B9" s="63"/>
      <x:c r="C9" s="63"/>
      <x:c r="D9" s="63"/>
      <x:c r="E9" s="63"/>
      <x:c r="F9" s="63"/>
      <x:c r="G9" s="63"/>
      <x:c r="H9" s="63"/>
      <x:c r="I9" s="63"/>
      <x:c r="J9" s="64"/>
    </x:row>
    <x:row r="10">
      <x:c r="A10" s="10" t="str">
        <x:v>ID</x:v>
      </x:c>
      <x:c r="B10" s="11" t="str">
        <x:v>Units/IIN</x:v>
      </x:c>
      <x:c r="C10" s="11" t="str">
        <x:v>Units/IFCG</x:v>
      </x:c>
      <x:c r="D10" s="11" t="str">
        <x:v>IIN cells</x:v>
      </x:c>
      <x:c r="E10" s="11" t="str">
        <x:v>IFCG groups</x:v>
      </x:c>
      <x:c r="F10" s="11" t="str">
        <x:v>Baseline units</x:v>
      </x:c>
      <x:c r="G10" s="11" t="str">
        <x:v>Procurement reserve</x:v>
      </x:c>
      <x:c r="H10" s="11" t="str">
        <x:v>Owned requirement</x:v>
      </x:c>
      <x:c r="I10" s="11" t="str">
        <x:v>Unit cost ($M)</x:v>
      </x:c>
      <x:c r="J10" s="12" t="str">
        <x:v>Air vehicle screen ($B)</x:v>
      </x:c>
    </x:row>
    <x:row r="11">
      <x:c r="A11" s="57" t="str">
        <x:v>FA-1</x:v>
      </x:c>
      <x:c r="B11" s="61" t="n">
        <x:v>3</x:v>
      </x:c>
      <x:c r="C11" s="61" t="n">
        <x:v>12</x:v>
      </x:c>
      <x:c r="D11" s="77" t="n">
        <x:f>'Controls'!$C$15</x:f>
        <x:v>30</x:v>
      </x:c>
      <x:c r="E11" s="77" t="n">
        <x:f>'Controls'!$C$16</x:f>
        <x:v>8</x:v>
      </x:c>
      <x:c r="F11" s="77" t="n">
        <x:f>B11*D11+C11*E11</x:f>
        <x:v>186</x:v>
      </x:c>
      <x:c r="G11" s="76" t="n">
        <x:f>'Controls'!$C$11</x:f>
        <x:v>0.25</x:v>
      </x:c>
      <x:c r="H11" s="77" t="n">
        <x:f>ROUNDUP(F11*(1+G11),0)</x:f>
        <x:v>233</x:v>
      </x:c>
      <x:c r="I11" s="77" t="n">
        <x:f>'Aircraft Families'!$M$5</x:f>
        <x:v>50</x:v>
      </x:c>
      <x:c r="J11" s="108" t="n">
        <x:f>H11*I11/1000</x:f>
        <x:v>11.65</x:v>
      </x:c>
    </x:row>
    <x:row r="12">
      <x:c r="A12" s="57" t="str">
        <x:v>FA-2</x:v>
      </x:c>
      <x:c r="B12" s="61" t="n">
        <x:v>4</x:v>
      </x:c>
      <x:c r="C12" s="61" t="n">
        <x:v>24</x:v>
      </x:c>
      <x:c r="D12" s="77" t="n">
        <x:f>'Controls'!$C$15</x:f>
        <x:v>30</x:v>
      </x:c>
      <x:c r="E12" s="77" t="n">
        <x:f>'Controls'!$C$16</x:f>
        <x:v>8</x:v>
      </x:c>
      <x:c r="F12" s="77" t="n">
        <x:f>B12*D12+C12*E12</x:f>
        <x:v>312</x:v>
      </x:c>
      <x:c r="G12" s="76" t="n">
        <x:f>'Controls'!$C$11</x:f>
        <x:v>0.25</x:v>
      </x:c>
      <x:c r="H12" s="77" t="n">
        <x:f>ROUNDUP(F12*(1+G12),0)</x:f>
        <x:v>390</x:v>
      </x:c>
      <x:c r="I12" s="77" t="n">
        <x:f>'Aircraft Families'!$M$6</x:f>
        <x:v>60</x:v>
      </x:c>
      <x:c r="J12" s="108" t="n">
        <x:f>H12*I12/1000</x:f>
        <x:v>23.4</x:v>
      </x:c>
    </x:row>
    <x:row r="13">
      <x:c r="A13" s="57" t="str">
        <x:v>FA-3</x:v>
      </x:c>
      <x:c r="B13" s="61" t="n">
        <x:v>0</x:v>
      </x:c>
      <x:c r="C13" s="61" t="n">
        <x:v>16</x:v>
      </x:c>
      <x:c r="D13" s="77" t="n">
        <x:f>'Controls'!$C$15</x:f>
        <x:v>30</x:v>
      </x:c>
      <x:c r="E13" s="77" t="n">
        <x:f>'Controls'!$C$16</x:f>
        <x:v>8</x:v>
      </x:c>
      <x:c r="F13" s="77" t="n">
        <x:f>B13*D13+C13*E13</x:f>
        <x:v>128</x:v>
      </x:c>
      <x:c r="G13" s="76" t="n">
        <x:f>'Controls'!$C$11</x:f>
        <x:v>0.25</x:v>
      </x:c>
      <x:c r="H13" s="77" t="n">
        <x:f>ROUNDUP(F13*(1+G13),0)</x:f>
        <x:v>160</x:v>
      </x:c>
      <x:c r="I13" s="77" t="n">
        <x:f>'Aircraft Families'!$M$7</x:f>
        <x:v>100</x:v>
      </x:c>
      <x:c r="J13" s="108" t="n">
        <x:f>H13*I13/1000</x:f>
        <x:v>16</x:v>
      </x:c>
    </x:row>
    <x:row r="14">
      <x:c r="A14" s="57" t="str">
        <x:v>FA-4</x:v>
      </x:c>
      <x:c r="B14" s="61" t="n">
        <x:v>0</x:v>
      </x:c>
      <x:c r="C14" s="61" t="n">
        <x:v>12</x:v>
      </x:c>
      <x:c r="D14" s="77" t="n">
        <x:f>'Controls'!$C$15</x:f>
        <x:v>30</x:v>
      </x:c>
      <x:c r="E14" s="77" t="n">
        <x:f>'Controls'!$C$16</x:f>
        <x:v>8</x:v>
      </x:c>
      <x:c r="F14" s="77" t="n">
        <x:f>B14*D14+C14*E14</x:f>
        <x:v>96</x:v>
      </x:c>
      <x:c r="G14" s="76" t="n">
        <x:f>'Controls'!$C$11</x:f>
        <x:v>0.25</x:v>
      </x:c>
      <x:c r="H14" s="77" t="n">
        <x:f>ROUNDUP(F14*(1+G14),0)</x:f>
        <x:v>120</x:v>
      </x:c>
      <x:c r="I14" s="77" t="n">
        <x:f>'Aircraft Families'!$M$8</x:f>
        <x:v>250</x:v>
      </x:c>
      <x:c r="J14" s="108" t="n">
        <x:f>H14*I14/1000</x:f>
        <x:v>30</x:v>
      </x:c>
    </x:row>
    <x:row r="15">
      <x:c r="A15" s="57" t="str">
        <x:v>FA-5</x:v>
      </x:c>
      <x:c r="B15" s="61" t="n">
        <x:v>2</x:v>
      </x:c>
      <x:c r="C15" s="61" t="n">
        <x:v>18</x:v>
      </x:c>
      <x:c r="D15" s="77" t="n">
        <x:f>'Controls'!$C$15</x:f>
        <x:v>30</x:v>
      </x:c>
      <x:c r="E15" s="77" t="n">
        <x:f>'Controls'!$C$16</x:f>
        <x:v>8</x:v>
      </x:c>
      <x:c r="F15" s="77" t="n">
        <x:f>B15*D15+C15*E15</x:f>
        <x:v>204</x:v>
      </x:c>
      <x:c r="G15" s="76" t="n">
        <x:f>'Controls'!$C$11</x:f>
        <x:v>0.25</x:v>
      </x:c>
      <x:c r="H15" s="77" t="n">
        <x:f>ROUNDUP(F15*(1+G15),0)</x:f>
        <x:v>255</x:v>
      </x:c>
      <x:c r="I15" s="77" t="n">
        <x:f>'Aircraft Families'!$M$9</x:f>
        <x:v>100</x:v>
      </x:c>
      <x:c r="J15" s="108" t="n">
        <x:f>H15*I15/1000</x:f>
        <x:v>25.5</x:v>
      </x:c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</x:row>
    <x:row r="18">
      <x:c r="A18" s="10" t="str">
        <x:v>Owned aircraft</x:v>
      </x:c>
      <x:c r="B18" s="11" t="str">
        <x:v>Air vehicle acquisition screen</x:v>
      </x:c>
      <x:c r="C18" s="12" t="str">
        <x:v>Aviation portfolio remainder</x:v>
      </x:c>
      <x:c r="D18" s="57"/>
      <x:c r="E18" s="57"/>
      <x:c r="F18" s="57"/>
      <x:c r="G18" s="57"/>
      <x:c r="H18" s="57"/>
      <x:c r="I18" s="57"/>
      <x:c r="J18" s="57"/>
    </x:row>
    <x:row r="19">
      <x:c r="A19" s="77" t="n">
        <x:f>SUM(H11:H15)</x:f>
        <x:v>1158</x:v>
      </x:c>
      <x:c r="B19" s="108" t="n">
        <x:f>SUM(J11:J15)</x:f>
        <x:v>106.55</x:v>
      </x:c>
      <x:c r="C19" s="108" t="n">
        <x:f>'Cost RDT&amp;E'!$B$6-B19</x:f>
        <x:v>143.45</x:v>
      </x:c>
      <x:c r="D19" s="57"/>
      <x:c r="E19" s="57"/>
      <x:c r="F19" s="57"/>
      <x:c r="G19" s="57"/>
      <x:c r="H19" s="57"/>
      <x:c r="I19" s="57"/>
      <x:c r="J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</x:row>
    <x:row r="22">
      <x:c r="A22" s="125" t="str">
        <x:v>Package rule</x:v>
      </x:c>
      <x:c r="B22" s="125" t="str">
        <x:v>Ready count equals planned packages times a common readiness rate, rounded down. It does not prove the right mix of people, aircraft, bases and logistics is simultaneously ready.</x:v>
      </x:c>
      <x:c r="C22" s="125"/>
      <x:c r="D22" s="125"/>
      <x:c r="E22" s="125"/>
      <x:c r="F22" s="125"/>
      <x:c r="G22" s="125"/>
      <x:c r="H22" s="125"/>
      <x:c r="I22" s="125"/>
      <x:c r="J22" s="125"/>
    </x:row>
    <x:row r="23">
      <x:c r="A23" s="125" t="str">
        <x:v>Fleet rule</x:v>
      </x:c>
      <x:c r="B23" s="125" t="str">
        <x:v>Order of battle combines every planned IIN and IFCG package, then adds procurement reserve. It does not optimize shared pools, geography or peak seasonal posture.</x:v>
      </x:c>
      <x:c r="C23" s="125"/>
      <x:c r="D23" s="125"/>
      <x:c r="E23" s="125"/>
      <x:c r="F23" s="125"/>
      <x:c r="G23" s="125"/>
      <x:c r="H23" s="125"/>
      <x:c r="I23" s="125"/>
      <x:c r="J23" s="125"/>
    </x:row>
    <x:row r="24">
      <x:c r="A24" s="125" t="str">
        <x:v>Cost rule</x:v>
      </x:c>
      <x:c r="B24" s="125" t="str">
        <x:v>Air vehicle screen is unit count times assumed airframe cost only. Aviation portfolio remainder must fund development, spares, training, bases, depots, software, attrition and cost risk.</x:v>
      </x:c>
      <x:c r="C24" s="125"/>
      <x:c r="D24" s="125"/>
      <x:c r="E24" s="125"/>
      <x:c r="F24" s="125"/>
      <x:c r="G24" s="125"/>
      <x:c r="H24" s="125"/>
      <x:c r="I24" s="125"/>
      <x:c r="J24" s="125"/>
    </x:row>
  </x:sheetData>
  <x:mergeCells>
    <x:mergeCell ref="B22:J22"/>
    <x:mergeCell ref="B23:J23"/>
    <x:mergeCell ref="B24:J24"/>
  </x:mergeCells>
  <x:conditionalFormatting sqref="F5:F6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4" hidden="0" customWidth="1"/>
    <x:col min="3" max="3" width="34" hidden="0" customWidth="1"/>
    <x:col min="4" max="4" width="36" hidden="0" customWidth="1"/>
    <x:col min="5" max="5" width="34" hidden="0" customWidth="1"/>
    <x:col min="6" max="6" width="18" hidden="0" customWidth="1"/>
    <x:col min="7" max="7" width="32" hidden="0" customWidth="1"/>
    <x:col min="8" max="8" width="38" hidden="0" customWidth="1"/>
    <x:col min="9" max="9" width="32" hidden="0" customWidth="1"/>
  </x:cols>
  <x:sheetData>
    <x:row r="1">
      <x:c r="A1" s="121" t="str">
        <x:v>Twenty-five-year fire technology roadmap</x:v>
      </x:c>
      <x:c r="B1" s="56"/>
      <x:c r="C1" s="56"/>
      <x:c r="D1" s="56"/>
      <x:c r="E1" s="56"/>
      <x:c r="F1" s="56"/>
      <x:c r="G1" s="56"/>
      <x:c r="H1" s="56"/>
      <x:c r="I1" s="56"/>
    </x:row>
    <x:row r="2">
      <x:c r="A2" s="119" t="str">
        <x:v>The Department funds integration, major engineering and genuine scientific work in parallel. Dates are transition targets, not promises.</x:v>
      </x:c>
      <x:c r="B2" s="119"/>
      <x:c r="C2" s="119"/>
      <x:c r="D2" s="119"/>
      <x:c r="E2" s="119"/>
      <x:c r="F2" s="119"/>
      <x:c r="G2" s="119"/>
      <x:c r="H2" s="119"/>
      <x:c r="I2" s="119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</x:row>
    <x:row r="4">
      <x:c r="A4" s="10" t="str">
        <x:v>Campaign</x:v>
      </x:c>
      <x:c r="B4" s="11" t="str">
        <x:v>RDT&amp;E ($B)</x:v>
      </x:c>
      <x:c r="C4" s="11" t="str">
        <x:v>0–5 years</x:v>
      </x:c>
      <x:c r="D4" s="11" t="str">
        <x:v>5–12 years</x:v>
      </x:c>
      <x:c r="E4" s="11" t="str">
        <x:v>12–25 years</x:v>
      </x:c>
      <x:c r="F4" s="11" t="str">
        <x:v>Current maturity</x:v>
      </x:c>
      <x:c r="G4" s="11" t="str">
        <x:v>Critical proof</x:v>
      </x:c>
      <x:c r="H4" s="11" t="str">
        <x:v>Termination condition</x:v>
      </x:c>
      <x:c r="I4" s="12" t="str">
        <x:v>Lead institution</x:v>
      </x:c>
    </x:row>
    <x:row r="5">
      <x:c r="A5" s="57" t="str">
        <x:v>Minutes-to-intercept</x:v>
      </x:c>
      <x:c r="B5" s="112" t="n">
        <x:v>15</x:v>
      </x:c>
      <x:c r="C5" s="57" t="str">
        <x:v>Detection fusion and regional pilots</x:v>
      </x:c>
      <x:c r="D5" s="57" t="str">
        <x:v>Persistent regional layers</x:v>
      </x:c>
      <x:c r="E5" s="57" t="str">
        <x:v>National and allied coverage</x:v>
      </x:c>
      <x:c r="F5" s="57" t="str">
        <x:v>Integration</x:v>
      </x:c>
      <x:c r="G5" s="57" t="str">
        <x:v>Tail action-time reduction</x:v>
      </x:c>
      <x:c r="H5" s="57" t="str">
        <x:v>No material end-to-end improvement</x:v>
      </x:c>
      <x:c r="I5" s="57" t="str">
        <x:v>ARPA-R / Information Command</x:v>
      </x:c>
    </x:row>
    <x:row r="6">
      <x:c r="A6" s="57" t="str">
        <x:v>Fire digital twin</x:v>
      </x:c>
      <x:c r="B6" s="112" t="n">
        <x:v>10</x:v>
      </x:c>
      <x:c r="C6" s="57" t="str">
        <x:v>Scored ensemble and data standards</x:v>
      </x:c>
      <x:c r="D6" s="57" t="str">
        <x:v>Operational causal models</x:v>
      </x:c>
      <x:c r="E6" s="57" t="str">
        <x:v>Adaptive campaign twin</x:v>
      </x:c>
      <x:c r="F6" s="57" t="str">
        <x:v>Research</x:v>
      </x:c>
      <x:c r="G6" s="57" t="str">
        <x:v>Calibration and decision value</x:v>
      </x:c>
      <x:c r="H6" s="57" t="str">
        <x:v>Uncalibrated confidence or no action value</x:v>
      </x:c>
      <x:c r="I6" s="57" t="str">
        <x:v>ARPA-R / mission labs</x:v>
      </x:c>
    </x:row>
    <x:row r="7">
      <x:c r="A7" s="57" t="str">
        <x:v>Cooperative autonomy</x:v>
      </x:c>
      <x:c r="B7" s="112" t="n">
        <x:v>18</x:v>
      </x:c>
      <x:c r="C7" s="57" t="str">
        <x:v>Portable airspace and bounded trials</x:v>
      </x:c>
      <x:c r="D7" s="57" t="str">
        <x:v>Second-shift logistics and suppression</x:v>
      </x:c>
      <x:c r="E7" s="57" t="str">
        <x:v>Dense mixed 24-hour operations</x:v>
      </x:c>
      <x:c r="F7" s="57" t="str">
        <x:v>Research</x:v>
      </x:c>
      <x:c r="G7" s="57" t="str">
        <x:v>Safe degraded operation</x:v>
      </x:c>
      <x:c r="H7" s="57" t="str">
        <x:v>Unsafe lost-link or excess workload</x:v>
      </x:c>
      <x:c r="I7" s="57" t="str">
        <x:v>ARPA-R / Air Response Service</x:v>
      </x:c>
    </x:row>
    <x:row r="8">
      <x:c r="A8" s="57" t="str">
        <x:v>Clean-sheet rapid aircraft</x:v>
      </x:c>
      <x:c r="B8" s="112" t="n">
        <x:v>12</x:v>
      </x:c>
      <x:c r="C8" s="57" t="str">
        <x:v>Competing concepts and fatigue spectrum</x:v>
      </x:c>
      <x:c r="D8" s="57" t="str">
        <x:v>Flight demonstrators and limited units</x:v>
      </x:c>
      <x:c r="E8" s="57" t="str">
        <x:v>Scaled fleet and recapitalization</x:v>
      </x:c>
      <x:c r="F8" s="57" t="str">
        <x:v>Concept</x:v>
      </x:c>
      <x:c r="G8" s="57" t="str">
        <x:v>Objective yield and availability</x:v>
      </x:c>
      <x:c r="H8" s="57" t="str">
        <x:v>No cycle advantage over alternatives</x:v>
      </x:c>
      <x:c r="I8" s="57" t="str">
        <x:v>Fire Technology Directorate</x:v>
      </x:c>
    </x:row>
    <x:row r="9">
      <x:c r="A9" s="57" t="str">
        <x:v>Heavy and amphibious flight</x:v>
      </x:c>
      <x:c r="B9" s="112" t="n">
        <x:v>18</x:v>
      </x:c>
      <x:c r="C9" s="57" t="str">
        <x:v>Drop, structure and scoop demonstrators</x:v>
      </x:c>
      <x:c r="D9" s="57" t="str">
        <x:v>Operational prototypes</x:v>
      </x:c>
      <x:c r="E9" s="57" t="str">
        <x:v>Scaled plural fleets</x:v>
      </x:c>
      <x:c r="F9" s="57" t="str">
        <x:v>Concept</x:v>
      </x:c>
      <x:c r="G9" s="57" t="str">
        <x:v>Lifecycle loads and delivered yield</x:v>
      </x:c>
      <x:c r="H9" s="57" t="str">
        <x:v>Payload advantage vanishes at system level</x:v>
      </x:c>
      <x:c r="I9" s="57" t="str">
        <x:v>Fire Technology Directorate</x:v>
      </x:c>
    </x:row>
    <x:row r="10">
      <x:c r="A10" s="57" t="str">
        <x:v>Robotic line and water</x:v>
      </x:c>
      <x:c r="B10" s="112" t="n">
        <x:v>18</x:v>
      </x:c>
      <x:c r="C10" s="57" t="str">
        <x:v>Optionally crewed field trials</x:v>
      </x:c>
      <x:c r="D10" s="57" t="str">
        <x:v>Cooperative companies</x:v>
      </x:c>
      <x:c r="E10" s="57" t="str">
        <x:v>Mature hazardous-work force</x:v>
      </x:c>
      <x:c r="F10" s="57" t="str">
        <x:v>Prototype</x:v>
      </x:c>
      <x:c r="G10" s="57" t="str">
        <x:v>Exposure-adjusted productivity</x:v>
      </x:c>
      <x:c r="H10" s="57" t="str">
        <x:v>Recovery and assurance erase benefit</x:v>
      </x:c>
      <x:c r="I10" s="57" t="str">
        <x:v>Land Engineering Service</x:v>
      </x:c>
    </x:row>
    <x:row r="11">
      <x:c r="A11" s="57" t="str">
        <x:v>Precision agent science</x:v>
      </x:c>
      <x:c r="B11" s="112" t="n">
        <x:v>8</x:v>
      </x:c>
      <x:c r="C11" s="57" t="str">
        <x:v>Chemistry and fate screening</x:v>
      </x:c>
      <x:c r="D11" s="57" t="str">
        <x:v>Operational qualification</x:v>
      </x:c>
      <x:c r="E11" s="57" t="str">
        <x:v>Adaptive low-logistics agents</x:v>
      </x:c>
      <x:c r="F11" s="57" t="str">
        <x:v>Research</x:v>
      </x:c>
      <x:c r="G11" s="57" t="str">
        <x:v>Fire effect plus environmental safety</x:v>
      </x:c>
      <x:c r="H11" s="57" t="str">
        <x:v>Toxicity, persistence or no logistics gain</x:v>
      </x:c>
      <x:c r="I11" s="57" t="str">
        <x:v>Mission labs / EPA partners</x:v>
      </x:c>
    </x:row>
    <x:row r="12">
      <x:c r="A12" s="57" t="str">
        <x:v>Community ember shield</x:v>
      </x:c>
      <x:c r="B12" s="112" t="n">
        <x:v>6</x:v>
      </x:c>
      <x:c r="C12" s="57" t="str">
        <x:v>Weathered component and parcel tests</x:v>
      </x:c>
      <x:c r="D12" s="57" t="str">
        <x:v>Cluster demonstrations</x:v>
      </x:c>
      <x:c r="E12" s="57" t="str">
        <x:v>Regional deployable defense</x:v>
      </x:c>
      <x:c r="F12" s="57" t="str">
        <x:v>Research</x:v>
      </x:c>
      <x:c r="G12" s="57" t="str">
        <x:v>Exposure-rated cluster effect</x:v>
      </x:c>
      <x:c r="H12" s="57" t="str">
        <x:v>No durable advantage after installation error</x:v>
      </x:c>
      <x:c r="I12" s="57" t="str">
        <x:v>Fire Technology Directorate / NIST partners</x:v>
      </x:c>
    </x:row>
    <x:row r="13">
      <x:c r="A13" s="57" t="str">
        <x:v>Expeditionary high-rate base</x:v>
      </x:c>
      <x:c r="B13" s="112" t="n">
        <x:v>10</x:v>
      </x:c>
      <x:c r="C13" s="57" t="str">
        <x:v>Modular throughput prototypes</x:v>
      </x:c>
      <x:c r="D13" s="57" t="str">
        <x:v>Regional operational bases</x:v>
      </x:c>
      <x:c r="E13" s="57" t="str">
        <x:v>Automated resilient base network</x:v>
      </x:c>
      <x:c r="F13" s="57" t="str">
        <x:v>Prototype</x:v>
      </x:c>
      <x:c r="G13" s="57" t="str">
        <x:v>Surge throughput under fault</x:v>
      </x:c>
      <x:c r="H13" s="57" t="str">
        <x:v>Shared queues defeat promised cycle</x:v>
      </x:c>
      <x:c r="I13" s="57" t="str">
        <x:v>Air Response Service</x:v>
      </x:c>
    </x:row>
    <x:row r="14">
      <x:c r="A14" s="57" t="str">
        <x:v>Human endurance and exposure</x:v>
      </x:c>
      <x:c r="B14" s="112" t="n">
        <x:v>5</x:v>
      </x:c>
      <x:c r="C14" s="57" t="str">
        <x:v>Sensors, filtered rest and PPE studies</x:v>
      </x:c>
      <x:c r="D14" s="57" t="str">
        <x:v>Integrated exposure systems</x:v>
      </x:c>
      <x:c r="E14" s="57" t="str">
        <x:v>Career health and adaptive work design</x:v>
      </x:c>
      <x:c r="F14" s="57" t="str">
        <x:v>Research</x:v>
      </x:c>
      <x:c r="G14" s="57" t="str">
        <x:v>Reduced exposure without heat penalty</x:v>
      </x:c>
      <x:c r="H14" s="57" t="str">
        <x:v>Risk is shifted or PPE unusable</x:v>
      </x:c>
      <x:c r="I14" s="57" t="str">
        <x:v>Health Protection Service / NIOSH partners</x:v>
      </x:c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</x:row>
    <x:row r="17">
      <x:c r="A17" s="10" t="str">
        <x:v>RDT&amp;E total</x:v>
      </x:c>
      <x:c r="B17" s="12" t="str">
        <x:v>Program horizon</x:v>
      </x:c>
      <x:c r="C17" s="57"/>
      <x:c r="D17" s="57"/>
      <x:c r="E17" s="57"/>
      <x:c r="F17" s="57"/>
      <x:c r="G17" s="57"/>
      <x:c r="H17" s="57"/>
      <x:c r="I17" s="57"/>
    </x:row>
    <x:row r="18">
      <x:c r="A18" s="108" t="n">
        <x:f>SUM(B5:B14)</x:f>
        <x:v>120</x:v>
      </x:c>
      <x:c r="B18" s="77" t="n">
        <x:f>'Controls'!$C$12</x:f>
        <x:v>25</x:v>
      </x:c>
      <x:c r="C18" s="57"/>
      <x:c r="D18" s="57"/>
      <x:c r="E18" s="57"/>
      <x:c r="F18" s="57"/>
      <x:c r="G18" s="57"/>
      <x:c r="H18" s="57"/>
      <x:c r="I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</x:row>
    <x:row r="21">
      <x:c r="A21" s="125" t="str">
        <x:v>Portfolio rule</x:v>
      </x:c>
      <x:c r="B21" s="125" t="str">
        <x:v>Competing pathways and termination are budgeted. A program that requires every technical path to succeed is not a credible research portfolio.</x:v>
      </x:c>
      <x:c r="C21" s="125"/>
      <x:c r="D21" s="125"/>
      <x:c r="E21" s="125"/>
      <x:c r="F21" s="125"/>
      <x:c r="G21" s="125"/>
      <x:c r="H21" s="125"/>
      <x:c r="I21" s="125"/>
    </x:row>
    <x:row r="22">
      <x:c r="A22" s="125" t="str">
        <x:v>Public architecture</x:v>
      </x:c>
      <x:c r="B22" s="125" t="str">
        <x:v>Safety evidence, interfaces, environmental data and test methods should normally be public. Restricted treatment requires a specific security, privacy or protected-resource rationale.</x:v>
      </x:c>
      <x:c r="C22" s="125"/>
      <x:c r="D22" s="125"/>
      <x:c r="E22" s="125"/>
      <x:c r="F22" s="125"/>
      <x:c r="G22" s="125"/>
      <x:c r="H22" s="125"/>
      <x:c r="I22" s="125"/>
    </x:row>
  </x:sheetData>
  <x:mergeCells>
    <x:mergeCell ref="B21:I21"/>
    <x:mergeCell ref="B22:I2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3" hidden="0" customWidth="1"/>
    <x:col min="4" max="4" width="21" hidden="0" customWidth="1"/>
    <x:col min="5" max="5" width="48" hidden="0" customWidth="1"/>
    <x:col min="6" max="6" width="22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121" t="str">
        <x:v>Illustrative capital and RDT&amp;E portfolio</x:v>
      </x:c>
      <x:c r="B1" s="56"/>
      <x:c r="C1" s="56"/>
      <x:c r="D1" s="56"/>
      <x:c r="E1" s="56"/>
      <x:c r="F1" s="56"/>
      <x:c r="G1" s="57"/>
      <x:c r="H1" s="57"/>
      <x:c r="I1" s="57"/>
      <x:c r="J1" s="57"/>
      <x:c r="K1" s="57"/>
      <x:c r="L1" s="57"/>
      <x:c r="M1" s="57"/>
      <x:c r="N1" s="57"/>
      <x:c r="O1" s="57"/>
      <x:c r="P1" s="57"/>
    </x:row>
    <x:row r="2">
      <x:c r="A2" s="119" t="str">
        <x:v>Real 2026 dollar thought experiment. Values are strategic allocations, not independent cost estimates. Routine personnel, operations and incident consumption are excluded.</x:v>
      </x:c>
      <x:c r="B2" s="119"/>
      <x:c r="C2" s="119"/>
      <x:c r="D2" s="119"/>
      <x:c r="E2" s="119"/>
      <x:c r="F2" s="119"/>
      <x:c r="G2" s="57"/>
      <x:c r="H2" s="57"/>
      <x:c r="I2" s="57"/>
      <x:c r="J2" s="57"/>
      <x:c r="K2" s="57"/>
      <x:c r="L2" s="57"/>
      <x:c r="M2" s="57"/>
      <x:c r="N2" s="57"/>
      <x:c r="O2" s="57"/>
      <x:c r="P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</x:row>
    <x:row r="4">
      <x:c r="A4" s="10" t="str">
        <x:v>Capital portfolio</x:v>
      </x:c>
      <x:c r="B4" s="11" t="str">
        <x:v>Amount ($B)</x:v>
      </x:c>
      <x:c r="C4" s="11" t="str">
        <x:v>Share</x:v>
      </x:c>
      <x:c r="D4" s="11" t="str">
        <x:v>Annual average ($B)</x:v>
      </x:c>
      <x:c r="E4" s="11" t="str">
        <x:v>What it purchases</x:v>
      </x:c>
      <x:c r="F4" s="12" t="str">
        <x:v>Evidence class</x:v>
      </x:c>
      <x:c r="G4" s="57"/>
      <x:c r="H4" s="57"/>
      <x:c r="I4" s="57"/>
      <x:c r="J4" s="57"/>
      <x:c r="K4" s="57"/>
      <x:c r="L4" s="57"/>
      <x:c r="M4" s="57"/>
      <x:c r="N4" s="57"/>
      <x:c r="O4" s="57"/>
      <x:c r="P4" s="57"/>
    </x:row>
    <x:row r="5">
      <x:c r="A5" s="57" t="str">
        <x:v>RDT&amp;E and advanced prototypes</x:v>
      </x:c>
      <x:c r="B5" s="116" t="n">
        <x:v>120</x:v>
      </x:c>
      <x:c r="C5" s="76" t="n">
        <x:f>B5/SUM($B$5:$B$13)</x:f>
        <x:v>0.12</x:v>
      </x:c>
      <x:c r="D5" s="108" t="n">
        <x:f>B5/'Controls'!$C$12</x:f>
        <x:v>4.8</x:v>
      </x:c>
      <x:c r="E5" s="57" t="str">
        <x:v>Ten campaigns, demonstrators and transition</x:v>
      </x:c>
      <x:c r="F5" s="57" t="str">
        <x:v>Thought experiment</x:v>
      </x:c>
      <x:c r="G5" s="57"/>
      <x:c r="H5" s="57"/>
      <x:c r="I5" s="57"/>
      <x:c r="J5" s="57"/>
      <x:c r="K5" s="57"/>
      <x:c r="L5" s="57"/>
      <x:c r="M5" s="57"/>
      <x:c r="N5" s="57"/>
      <x:c r="O5" s="57"/>
      <x:c r="P5" s="57"/>
    </x:row>
    <x:row r="6">
      <x:c r="A6" s="57" t="str">
        <x:v>Purpose-built aviation fleets</x:v>
      </x:c>
      <x:c r="B6" s="116" t="n">
        <x:v>250</x:v>
      </x:c>
      <x:c r="C6" s="76" t="n">
        <x:f>B6/SUM($B$5:$B$13)</x:f>
        <x:v>0.25</x:v>
      </x:c>
      <x:c r="D6" s="108" t="n">
        <x:f>B6/'Controls'!$C$12</x:f>
        <x:v>10</x:v>
      </x:c>
      <x:c r="E6" s="57" t="str">
        <x:v>Aircraft, initial spares and training systems</x:v>
      </x:c>
      <x:c r="F6" s="57" t="str">
        <x:v>Thought experiment</x:v>
      </x:c>
      <x:c r="G6" s="57"/>
      <x:c r="H6" s="57"/>
      <x:c r="I6" s="57"/>
      <x:c r="J6" s="57"/>
      <x:c r="K6" s="57"/>
      <x:c r="L6" s="57"/>
      <x:c r="M6" s="57"/>
      <x:c r="N6" s="57"/>
      <x:c r="O6" s="57"/>
      <x:c r="P6" s="57"/>
    </x:row>
    <x:row r="7">
      <x:c r="A7" s="57" t="str">
        <x:v>Ground control, robotics and water</x:v>
      </x:c>
      <x:c r="B7" s="116" t="n">
        <x:v>150</x:v>
      </x:c>
      <x:c r="C7" s="76" t="n">
        <x:f>B7/SUM($B$5:$B$13)</x:f>
        <x:v>0.15</x:v>
      </x:c>
      <x:c r="D7" s="108" t="n">
        <x:f>B7/'Controls'!$C$12</x:f>
        <x:v>6</x:v>
      </x:c>
      <x:c r="E7" s="57" t="str">
        <x:v>Engines, machines and water systems</x:v>
      </x:c>
      <x:c r="F7" s="57" t="str">
        <x:v>Thought experiment</x:v>
      </x:c>
      <x:c r="G7" s="57"/>
      <x:c r="H7" s="57"/>
      <x:c r="I7" s="57"/>
      <x:c r="J7" s="57"/>
      <x:c r="K7" s="57"/>
      <x:c r="L7" s="57"/>
      <x:c r="M7" s="57"/>
      <x:c r="N7" s="57"/>
      <x:c r="O7" s="57"/>
      <x:c r="P7" s="57"/>
    </x:row>
    <x:row r="8">
      <x:c r="A8" s="57" t="str">
        <x:v>Sensing, communications and decisions</x:v>
      </x:c>
      <x:c r="B8" s="116" t="n">
        <x:v>100</x:v>
      </x:c>
      <x:c r="C8" s="76" t="n">
        <x:f>B8/SUM($B$5:$B$13)</x:f>
        <x:v>0.1</x:v>
      </x:c>
      <x:c r="D8" s="108" t="n">
        <x:f>B8/'Controls'!$C$12</x:f>
        <x:v>4</x:v>
      </x:c>
      <x:c r="E8" s="57" t="str">
        <x:v>Space, air, ground, network and compute</x:v>
      </x:c>
      <x:c r="F8" s="57" t="str">
        <x:v>Thought experiment</x:v>
      </x:c>
      <x:c r="G8" s="57"/>
      <x:c r="H8" s="57"/>
      <x:c r="I8" s="57"/>
      <x:c r="J8" s="57"/>
      <x:c r="K8" s="57"/>
      <x:c r="L8" s="57"/>
      <x:c r="M8" s="57"/>
      <x:c r="N8" s="57"/>
      <x:c r="O8" s="57"/>
      <x:c r="P8" s="57"/>
    </x:row>
    <x:row r="9">
      <x:c r="A9" s="57" t="str">
        <x:v>Bases, agent and logistics</x:v>
      </x:c>
      <x:c r="B9" s="116" t="n">
        <x:v>100</x:v>
      </x:c>
      <x:c r="C9" s="76" t="n">
        <x:f>B9/SUM($B$5:$B$13)</x:f>
        <x:v>0.1</x:v>
      </x:c>
      <x:c r="D9" s="108" t="n">
        <x:f>B9/'Controls'!$C$12</x:f>
        <x:v>4</x:v>
      </x:c>
      <x:c r="E9" s="57" t="str">
        <x:v>Fixed and expeditionary support infrastructure</x:v>
      </x:c>
      <x:c r="F9" s="57" t="str">
        <x:v>Thought experiment</x:v>
      </x:c>
      <x:c r="G9" s="57"/>
      <x:c r="H9" s="57"/>
      <x:c r="I9" s="57"/>
      <x:c r="J9" s="57"/>
      <x:c r="K9" s="57"/>
      <x:c r="L9" s="57"/>
      <x:c r="M9" s="57"/>
      <x:c r="N9" s="57"/>
      <x:c r="O9" s="57"/>
      <x:c r="P9" s="57"/>
    </x:row>
    <x:row r="10">
      <x:c r="A10" s="57" t="str">
        <x:v>Depots, schools, ranges and certification</x:v>
      </x:c>
      <x:c r="B10" s="116" t="n">
        <x:v>80</x:v>
      </x:c>
      <x:c r="C10" s="76" t="n">
        <x:f>B10/SUM($B$5:$B$13)</x:f>
        <x:v>0.08</x:v>
      </x:c>
      <x:c r="D10" s="108" t="n">
        <x:f>B10/'Controls'!$C$12</x:f>
        <x:v>3.2</x:v>
      </x:c>
      <x:c r="E10" s="57" t="str">
        <x:v>Overhaul, training and test</x:v>
      </x:c>
      <x:c r="F10" s="57" t="str">
        <x:v>Thought experiment</x:v>
      </x:c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</x:row>
    <x:row r="11">
      <x:c r="A11" s="57" t="str">
        <x:v>Community and corridor defense</x:v>
      </x:c>
      <x:c r="B11" s="116" t="n">
        <x:v>100</x:v>
      </x:c>
      <x:c r="C11" s="76" t="n">
        <x:f>B11/SUM($B$5:$B$13)</x:f>
        <x:v>0.1</x:v>
      </x:c>
      <x:c r="D11" s="108" t="n">
        <x:f>B11/'Controls'!$C$12</x:f>
        <x:v>4</x:v>
      </x:c>
      <x:c r="E11" s="57" t="str">
        <x:v>Ember, clean-air and evacuation-route systems</x:v>
      </x:c>
      <x:c r="F11" s="57" t="str">
        <x:v>Thought experiment</x:v>
      </x:c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</x:row>
    <x:row r="12">
      <x:c r="A12" s="57" t="str">
        <x:v>Reconstitution and reserve</x:v>
      </x:c>
      <x:c r="B12" s="116" t="n">
        <x:v>50</x:v>
      </x:c>
      <x:c r="C12" s="76" t="n">
        <x:f>B12/SUM($B$5:$B$13)</x:f>
        <x:v>0.05</x:v>
      </x:c>
      <x:c r="D12" s="108" t="n">
        <x:f>B12/'Controls'!$C$12</x:f>
        <x:v>2</x:v>
      </x:c>
      <x:c r="E12" s="57" t="str">
        <x:v>Spares, attrition and industrial surge</x:v>
      </x:c>
      <x:c r="F12" s="57" t="str">
        <x:v>Thought experiment</x:v>
      </x:c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</x:row>
    <x:row r="13">
      <x:c r="A13" s="57" t="str">
        <x:v>Program uncertainty and failed pathways</x:v>
      </x:c>
      <x:c r="B13" s="116" t="n">
        <x:v>50</x:v>
      </x:c>
      <x:c r="C13" s="76" t="n">
        <x:f>B13/SUM($B$5:$B$13)</x:f>
        <x:v>0.05</x:v>
      </x:c>
      <x:c r="D13" s="108" t="n">
        <x:f>B13/'Controls'!$C$12</x:f>
        <x:v>2</x:v>
      </x:c>
      <x:c r="E13" s="57" t="str">
        <x:v>Terminated prototypes and schedule/cost risk</x:v>
      </x:c>
      <x:c r="F13" s="57" t="str">
        <x:v>Thought experiment</x:v>
      </x:c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</x:row>
    <x:row r="16">
      <x:c r="A16" s="10" t="str">
        <x:v>Capital total</x:v>
      </x:c>
      <x:c r="B16" s="11" t="str">
        <x:v>Share total</x:v>
      </x:c>
      <x:c r="C16" s="11" t="str">
        <x:v>RDT&amp;E roadmap total</x:v>
      </x:c>
      <x:c r="D16" s="12" t="str">
        <x:v>Air vehicle acquisition screen</x:v>
      </x:c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</x:row>
    <x:row r="17">
      <x:c r="A17" s="108" t="n">
        <x:f>SUM(B5:B13)</x:f>
        <x:v>1000</x:v>
      </x:c>
      <x:c r="B17" s="76" t="n">
        <x:f>SUM(C5:C13)</x:f>
        <x:v>1</x:v>
      </x:c>
      <x:c r="C17" s="108" t="n">
        <x:f>'Technology Roadmap'!$A$18</x:f>
        <x:v>120</x:v>
      </x:c>
      <x:c r="D17" s="108" t="n">
        <x:f>'Readiness Concurrency'!$B$19</x:f>
        <x:v>106.55</x:v>
      </x:c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</x:row>
    <x:row r="20">
      <x:c r="A20" s="125" t="str">
        <x:v>Scope</x:v>
      </x:c>
      <x:c r="B20" s="125" t="str">
        <x:v>Capital and research only. Annual operations, personnel, fire-season consumption, local grants, insurance, recovery and avoided loss are excluded.</x:v>
      </x:c>
      <x:c r="C20" s="125"/>
      <x:c r="D20" s="125"/>
      <x:c r="E20" s="125"/>
      <x:c r="F20" s="125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</x:row>
    <x:row r="21">
      <x:c r="A21" s="125" t="str">
        <x:v>Air vehicle screen</x:v>
      </x:c>
      <x:c r="B21" s="125" t="str">
        <x:v>Unit-count × assumed unit-cost result excludes development and support. The difference from the $250B aviation tranche is not savings; it is unallocated system cost and uncertainty.</x:v>
      </x:c>
      <x:c r="C21" s="125"/>
      <x:c r="D21" s="125"/>
      <x:c r="E21" s="125"/>
      <x:c r="F21" s="125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</x:row>
    <x:row r="22">
      <x:c r="A22" s="125" t="str">
        <x:v>Next cost pass</x:v>
      </x:c>
      <x:c r="B22" s="125" t="str">
        <x:v>Use reference-class forecasts, subsystem cost relationships, production learning, software/depot tails, schedule risk, inflation convention and independent cost analysis.</x:v>
      </x:c>
      <x:c r="C22" s="125"/>
      <x:c r="D22" s="125"/>
      <x:c r="E22" s="125"/>
      <x:c r="F22" s="125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</x:row>
  </x:sheetData>
  <x:mergeCells>
    <x:mergeCell ref="B20:F20"/>
    <x:mergeCell ref="B21:F21"/>
    <x:mergeCell ref="B22:F22"/>
  </x:mergeCells>
  <x:pageMargins left="0.7" right="0.7" top="0.75" bottom="0.75" header="0.3" footer="0.3"/>
  <x:drawing xmlns:r="http://schemas.openxmlformats.org/officeDocument/2006/relationships" r:id="Rb90c165b097d4d28"/>
</x:worksheet>
</file>

<file path=xl/worksheets/sheet22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0" hidden="0" customWidth="1"/>
    <x:col min="4" max="4" width="30" hidden="0" customWidth="1"/>
    <x:col min="5" max="5" width="44" hidden="0" customWidth="1"/>
    <x:col min="6" max="6" width="28" hidden="0" customWidth="1"/>
    <x:col min="7" max="7" width="18" hidden="0" customWidth="1"/>
  </x:cols>
  <x:sheetData>
    <x:row r="1">
      <x:c r="A1" s="121" t="str">
        <x:v>Force-level failure cases</x:v>
      </x:c>
      <x:c r="B1" s="56"/>
      <x:c r="C1" s="56"/>
      <x:c r="D1" s="56"/>
      <x:c r="E1" s="56"/>
      <x:c r="F1" s="56"/>
      <x:c r="G1" s="56"/>
    </x:row>
    <x:row r="2">
      <x:c r="A2" s="119" t="str">
        <x:v>Each case identifies the false capacity claim and the required degraded mode. Workbook levers support first-order sensitivity checks.</x:v>
      </x:c>
      <x:c r="B2" s="119"/>
      <x:c r="C2" s="119"/>
      <x:c r="D2" s="119"/>
      <x:c r="E2" s="119"/>
      <x:c r="F2" s="119"/>
      <x:c r="G2" s="119"/>
    </x:row>
    <x:row r="3">
      <x:c r="A3" s="57"/>
      <x:c r="B3" s="57"/>
      <x:c r="C3" s="57"/>
      <x:c r="D3" s="57"/>
      <x:c r="E3" s="57"/>
      <x:c r="F3" s="57"/>
      <x:c r="G3" s="57"/>
    </x:row>
    <x:row r="4">
      <x:c r="A4" s="10" t="str">
        <x:v>Failure</x:v>
      </x:c>
      <x:c r="B4" s="11" t="str">
        <x:v>False claim</x:v>
      </x:c>
      <x:c r="C4" s="11" t="str">
        <x:v>Workbook lever</x:v>
      </x:c>
      <x:c r="D4" s="11" t="str">
        <x:v>Detection</x:v>
      </x:c>
      <x:c r="E4" s="11" t="str">
        <x:v>Required degraded response</x:v>
      </x:c>
      <x:c r="F4" s="11" t="str">
        <x:v>Owner</x:v>
      </x:c>
      <x:c r="G4" s="12" t="str">
        <x:v>Model coverage</x:v>
      </x:c>
    </x:row>
    <x:row r="5">
      <x:c r="A5" s="57" t="str">
        <x:v>Detection miss or mislocation</x:v>
      </x:c>
      <x:c r="B5" s="57" t="str">
        <x:v>Persistent sensing guarantees awareness</x:v>
      </x:c>
      <x:c r="C5" s="57" t="str">
        <x:v>Detection P50/P90</x:v>
      </x:c>
      <x:c r="D5" s="57" t="str">
        <x:v>Independent layer disagreement</x:v>
      </x:c>
      <x:c r="E5" s="57" t="str">
        <x:v>Local reporting, search and alternate sensor tasking</x:v>
      </x:c>
      <x:c r="F5" s="57" t="str">
        <x:v>Information Command</x:v>
      </x:c>
      <x:c r="G5" s="58" t="str">
        <x:v>Partial</x:v>
      </x:c>
    </x:row>
    <x:row r="6">
      <x:c r="A6" s="57" t="str">
        <x:v>False alarms saturate verification</x:v>
      </x:c>
      <x:c r="B6" s="57" t="str">
        <x:v>Fast alerts equal fast action</x:v>
      </x:c>
      <x:c r="C6" s="57" t="str">
        <x:v>Verification P50/P90</x:v>
      </x:c>
      <x:c r="D6" s="57" t="str">
        <x:v>Queue age and analyst load</x:v>
      </x:c>
      <x:c r="E6" s="57" t="str">
        <x:v>Triage and regional surge analysis</x:v>
      </x:c>
      <x:c r="F6" s="57" t="str">
        <x:v>IIN command</x:v>
      </x:c>
      <x:c r="G6" s="58" t="str">
        <x:v>Partial</x:v>
      </x:c>
    </x:row>
    <x:row r="7">
      <x:c r="A7" s="57" t="str">
        <x:v>Weather closes an aircraft family</x:v>
      </x:c>
      <x:c r="B7" s="57" t="str">
        <x:v>Inventory equals effect</x:v>
      </x:c>
      <x:c r="C7" s="57" t="str">
        <x:v>Aircraft availability or quantity</x:v>
      </x:c>
      <x:c r="D7" s="57" t="str">
        <x:v>Weather and mission release</x:v>
      </x:c>
      <x:c r="E7" s="57" t="str">
        <x:v>Heterogeneous air and ground alternatives</x:v>
      </x:c>
      <x:c r="F7" s="57" t="str">
        <x:v>Air Response Service</x:v>
      </x:c>
      <x:c r="G7" s="58" t="str">
        <x:v>Partial</x:v>
      </x:c>
    </x:row>
    <x:row r="8">
      <x:c r="A8" s="57" t="str">
        <x:v>Primary base unavailable</x:v>
      </x:c>
      <x:c r="B8" s="57" t="str">
        <x:v>Aircraft can use any pavement</x:v>
      </x:c>
      <x:c r="C8" s="57" t="str">
        <x:v>Air base count</x:v>
      </x:c>
      <x:c r="D8" s="57" t="str">
        <x:v>Airfield and plant assessment</x:v>
      </x:c>
      <x:c r="E8" s="57" t="str">
        <x:v>Alternate base and mobile agent plant</x:v>
      </x:c>
      <x:c r="F8" s="57" t="str">
        <x:v>Air base group</x:v>
      </x:c>
      <x:c r="G8" s="58" t="str">
        <x:v>Partial</x:v>
      </x:c>
    </x:row>
    <x:row r="9">
      <x:c r="A9" s="57" t="str">
        <x:v>Water source unavailable</x:v>
      </x:c>
      <x:c r="B9" s="57" t="str">
        <x:v>Scooping is universal</x:v>
      </x:c>
      <x:c r="C9" s="57" t="str">
        <x:v>Water capacity/unit</x:v>
      </x:c>
      <x:c r="D9" s="57" t="str">
        <x:v>Source survey and quality</x:v>
      </x:c>
      <x:c r="E9" s="57" t="str">
        <x:v>Land loading, alternate agent and ground control</x:v>
      </x:c>
      <x:c r="F9" s="57" t="str">
        <x:v>Water group</x:v>
      </x:c>
      <x:c r="G9" s="58" t="str">
        <x:v>Partial</x:v>
      </x:c>
    </x:row>
    <x:row r="10">
      <x:c r="A10" s="57" t="str">
        <x:v>Communications fail</x:v>
      </x:c>
      <x:c r="B10" s="57" t="str">
        <x:v>Autonomy removes connectivity</x:v>
      </x:c>
      <x:c r="C10" s="57" t="str">
        <x:v>Airspace reserve and robot test</x:v>
      </x:c>
      <x:c r="D10" s="57" t="str">
        <x:v>Link quality and lost-link state</x:v>
      </x:c>
      <x:c r="E10" s="57" t="str">
        <x:v>Bounded local behavior and safe stop</x:v>
      </x:c>
      <x:c r="F10" s="57" t="str">
        <x:v>Information / robotics</x:v>
      </x:c>
      <x:c r="G10" s="58" t="str">
        <x:v>Qualitative</x:v>
      </x:c>
    </x:row>
    <x:row r="11">
      <x:c r="A11" s="57" t="str">
        <x:v>Digital twin is confidently wrong</x:v>
      </x:c>
      <x:c r="B11" s="57" t="str">
        <x:v>More computation removes uncertainty</x:v>
      </x:c>
      <x:c r="C11" s="57" t="str">
        <x:v>Post-intervention spread factor</x:v>
      </x:c>
      <x:c r="D11" s="57" t="str">
        <x:v>Forecast scoring and field observation</x:v>
      </x:c>
      <x:c r="E11" s="57" t="str">
        <x:v>Ensemble disagreement and manual authority</x:v>
      </x:c>
      <x:c r="F11" s="57" t="str">
        <x:v>Fire intelligence</x:v>
      </x:c>
      <x:c r="G11" s="58" t="str">
        <x:v>Partial</x:v>
      </x:c>
    </x:row>
    <x:row r="12">
      <x:c r="A12" s="57" t="str">
        <x:v>Aerial line is not held</x:v>
      </x:c>
      <x:c r="B12" s="57" t="str">
        <x:v>Gallons equal containment</x:v>
      </x:c>
      <x:c r="C12" s="57" t="str">
        <x:v>Ground completion and hold</x:v>
      </x:c>
      <x:c r="D12" s="57" t="str">
        <x:v>Line inspection and breach</x:v>
      </x:c>
      <x:c r="E12" s="57" t="str">
        <x:v>Visible dependency and ground reassignment</x:v>
      </x:c>
      <x:c r="F12" s="57" t="str">
        <x:v>Operations</x:v>
      </x:c>
      <x:c r="G12" s="58" t="str">
        <x:v>Modeled</x:v>
      </x:c>
    </x:row>
    <x:row r="13">
      <x:c r="A13" s="57" t="str">
        <x:v>Robot disabled in fire area</x:v>
      </x:c>
      <x:c r="B13" s="57" t="str">
        <x:v>Uncrewed means consequence-free</x:v>
      </x:c>
      <x:c r="C13" s="57" t="str">
        <x:v>Robot availability and reserve</x:v>
      </x:c>
      <x:c r="D13" s="57" t="str">
        <x:v>Health beacon and status</x:v>
      </x:c>
      <x:c r="E13" s="57" t="str">
        <x:v>Remote recovery or safe abandonment</x:v>
      </x:c>
      <x:c r="F13" s="57" t="str">
        <x:v>Land Engineering</x:v>
      </x:c>
      <x:c r="G13" s="58" t="str">
        <x:v>Partial</x:v>
      </x:c>
    </x:row>
    <x:row r="14">
      <x:c r="A14" s="57" t="str">
        <x:v>Agent causes environmental harm</x:v>
      </x:c>
      <x:c r="B14" s="57" t="str">
        <x:v>Novel chemistry is safe by label</x:v>
      </x:c>
      <x:c r="C14" s="57" t="str">
        <x:v>Agent share and capacity</x:v>
      </x:c>
      <x:c r="D14" s="57" t="str">
        <x:v>Batch and environmental monitoring</x:v>
      </x:c>
      <x:c r="E14" s="57" t="str">
        <x:v>Alternate agent and exclusion</x:v>
      </x:c>
      <x:c r="F14" s="57" t="str">
        <x:v>Fire Technology / environmental</x:v>
      </x:c>
      <x:c r="G14" s="58" t="str">
        <x:v>Qualitative</x:v>
      </x:c>
    </x:row>
    <x:row r="15">
      <x:c r="A15" s="57" t="str">
        <x:v>Base queue collapses</x:v>
      </x:c>
      <x:c r="B15" s="57" t="str">
        <x:v>Nominal service scales linearly</x:v>
      </x:c>
      <x:c r="C15" s="57" t="str">
        <x:v>Service time and positions</x:v>
      </x:c>
      <x:c r="D15" s="57" t="str">
        <x:v>Queue and position utilization</x:v>
      </x:c>
      <x:c r="E15" s="57" t="str">
        <x:v>Dispersal, reserve plant and priority</x:v>
      </x:c>
      <x:c r="F15" s="57" t="str">
        <x:v>Air base group</x:v>
      </x:c>
      <x:c r="G15" s="58" t="str">
        <x:v>Partial</x:v>
      </x:c>
    </x:row>
    <x:row r="16">
      <x:c r="A16" s="57" t="str">
        <x:v>Relief workforce fails</x:v>
      </x:c>
      <x:c r="B16" s="57" t="str">
        <x:v>Platform availability equals crew availability</x:v>
      </x:c>
      <x:c r="C16" s="57" t="str">
        <x:v>Shifts, relief and rotation</x:v>
      </x:c>
      <x:c r="D16" s="57" t="str">
        <x:v>Qualification and fatigue state</x:v>
      </x:c>
      <x:c r="E16" s="57" t="str">
        <x:v>Mission curtailment and replacement</x:v>
      </x:c>
      <x:c r="F16" s="57" t="str">
        <x:v>Service commands</x:v>
      </x:c>
      <x:c r="G16" s="58" t="str">
        <x:v>Partial</x:v>
      </x:c>
    </x:row>
    <x:row r="17">
      <x:c r="A17" s="57" t="str">
        <x:v>Post-fire rain mobilizes debris</x:v>
      </x:c>
      <x:c r="B17" s="57" t="str">
        <x:v>Containment ends the disaster</x:v>
      </x:c>
      <x:c r="C17" s="57" t="str">
        <x:v>Outside current model</x:v>
      </x:c>
      <x:c r="D17" s="57" t="str">
        <x:v>Weather, slope and watershed</x:v>
      </x:c>
      <x:c r="E17" s="57" t="str">
        <x:v>Post-fire stabilization group</x:v>
      </x:c>
      <x:c r="F17" s="57" t="str">
        <x:v>Joint command</x:v>
      </x:c>
      <x:c r="G17" s="58" t="str">
        <x:v>Not modeled</x:v>
      </x:c>
    </x:row>
    <x:row r="18">
      <x:c r="A18" s="57"/>
      <x:c r="B18" s="57"/>
      <x:c r="C18" s="57"/>
      <x:c r="D18" s="57"/>
      <x:c r="E18" s="57"/>
      <x:c r="F18" s="57"/>
      <x:c r="G18" s="57"/>
    </x:row>
    <x:row r="19">
      <x:c r="A19" s="57"/>
      <x:c r="B19" s="57"/>
      <x:c r="C19" s="57"/>
      <x:c r="D19" s="57"/>
      <x:c r="E19" s="57"/>
      <x:c r="F19" s="57"/>
      <x:c r="G19" s="57"/>
    </x:row>
    <x:row r="20">
      <x:c r="A20" s="125" t="str">
        <x:v>Use</x:v>
      </x:c>
      <x:c r="B20" s="125" t="str">
        <x:v>Change the listed lever, record result movement and identify whether the architecture still delivers the civil effect. Sensitivity is not a substitute for operational test.</x:v>
      </x:c>
      <x:c r="C20" s="125"/>
      <x:c r="D20" s="125"/>
      <x:c r="E20" s="125"/>
      <x:c r="F20" s="125"/>
      <x:c r="G20" s="125"/>
    </x:row>
    <x:row r="21">
      <x:c r="A21" s="125" t="str">
        <x:v>No automatic pass</x:v>
      </x:c>
      <x:c r="B21" s="125" t="str">
        <x:v>A modeled degraded response is a requirement. It is not evidence that the people, equipment or authority can execute it.</x:v>
      </x:c>
      <x:c r="C21" s="125"/>
      <x:c r="D21" s="125"/>
      <x:c r="E21" s="125"/>
      <x:c r="F21" s="125"/>
      <x:c r="G21" s="125"/>
    </x:row>
  </x:sheetData>
  <x:mergeCells>
    <x:mergeCell ref="B20:G20"/>
    <x:mergeCell ref="B21:G2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6" hidden="0" customWidth="1"/>
    <x:col min="3" max="3" width="18" hidden="0" customWidth="1"/>
    <x:col min="4" max="4" width="38" hidden="0" customWidth="1"/>
    <x:col min="5" max="5" width="34" hidden="0" customWidth="1"/>
    <x:col min="6" max="6" width="30" hidden="0" customWidth="1"/>
  </x:cols>
  <x:sheetData>
    <x:row r="1">
      <x:c r="A1" s="121" t="str">
        <x:v>R3 evidence gate</x:v>
      </x:c>
      <x:c r="B1" s="56"/>
      <x:c r="C1" s="56"/>
      <x:c r="D1" s="56"/>
      <x:c r="E1" s="56"/>
      <x:c r="F1" s="56"/>
    </x:row>
    <x:row r="2">
      <x:c r="A2" s="119" t="str">
        <x:v>R2+ means the configuration is coherent enough to direct experiments. It does not mean any platform, formation or technology is ready for procurement or rendering.</x:v>
      </x:c>
      <x:c r="B2" s="119"/>
      <x:c r="C2" s="119"/>
      <x:c r="D2" s="119"/>
      <x:c r="E2" s="119"/>
      <x:c r="F2" s="119"/>
    </x:row>
    <x:row r="3">
      <x:c r="A3" s="57"/>
      <x:c r="B3" s="57"/>
      <x:c r="C3" s="57"/>
      <x:c r="D3" s="57"/>
      <x:c r="E3" s="57"/>
      <x:c r="F3" s="57"/>
    </x:row>
    <x:row r="4">
      <x:c r="A4" s="10" t="str">
        <x:v>Gate</x:v>
      </x:c>
      <x:c r="B4" s="11" t="str">
        <x:v>Evidence required</x:v>
      </x:c>
      <x:c r="C4" s="11" t="str">
        <x:v>State</x:v>
      </x:c>
      <x:c r="D4" s="11" t="str">
        <x:v>Next proof</x:v>
      </x:c>
      <x:c r="E4" s="11" t="str">
        <x:v>Independent verifier</x:v>
      </x:c>
      <x:c r="F4" s="12" t="str">
        <x:v>Rendering implication</x:v>
      </x:c>
    </x:row>
    <x:row r="5">
      <x:c r="A5" s="57" t="str">
        <x:v>Regional fire cases</x:v>
      </x:c>
      <x:c r="B5" s="57" t="str">
        <x:v>Ignition and consequence distributions with uncertainty</x:v>
      </x:c>
      <x:c r="C5" s="58" t="str">
        <x:v>Not verified</x:v>
      </x:c>
      <x:c r="D5" s="57" t="str">
        <x:v>Regional dataset and red-team review</x:v>
      </x:c>
      <x:c r="E5" s="57" t="str">
        <x:v>Independent science panel</x:v>
      </x:c>
      <x:c r="F5" s="57" t="str">
        <x:v>Blocks rendering until verified</x:v>
      </x:c>
    </x:row>
    <x:row r="6">
      <x:c r="A6" s="57" t="str">
        <x:v>Detection-to-action</x:v>
      </x:c>
      <x:c r="B6" s="57" t="str">
        <x:v>Empirical complete-clock distributions</x:v>
      </x:c>
      <x:c r="C6" s="58" t="str">
        <x:v>Not verified</x:v>
      </x:c>
      <x:c r="D6" s="57" t="str">
        <x:v>Instrumented regional exercises</x:v>
      </x:c>
      <x:c r="E6" s="57" t="str">
        <x:v>Operational test authority</x:v>
      </x:c>
      <x:c r="F6" s="57" t="str">
        <x:v>Blocks rendering until verified</x:v>
      </x:c>
    </x:row>
    <x:row r="7">
      <x:c r="A7" s="57" t="str">
        <x:v>Fire growth and escape</x:v>
      </x:c>
      <x:c r="B7" s="57" t="str">
        <x:v>Calibrated ensemble behavior across representative cases</x:v>
      </x:c>
      <x:c r="C7" s="58" t="str">
        <x:v>Not verified</x:v>
      </x:c>
      <x:c r="D7" s="57" t="str">
        <x:v>Hindcast and prospective scoring</x:v>
      </x:c>
      <x:c r="E7" s="57" t="str">
        <x:v>Fire science laboratory</x:v>
      </x:c>
      <x:c r="F7" s="57" t="str">
        <x:v>Blocks rendering until verified</x:v>
      </x:c>
    </x:row>
    <x:row r="8">
      <x:c r="A8" s="57" t="str">
        <x:v>Aircraft mission cycles</x:v>
      </x:c>
      <x:c r="B8" s="57" t="str">
        <x:v>Whole-cycle timing, aborts and availability</x:v>
      </x:c>
      <x:c r="C8" s="58" t="str">
        <x:v>Not verified</x:v>
      </x:c>
      <x:c r="D8" s="57" t="str">
        <x:v>Representative base and target trials</x:v>
      </x:c>
      <x:c r="E8" s="57" t="str">
        <x:v>Aviation test authority</x:v>
      </x:c>
      <x:c r="F8" s="57" t="str">
        <x:v>Blocks rendering until verified</x:v>
      </x:c>
    </x:row>
    <x:row r="9">
      <x:c r="A9" s="57" t="str">
        <x:v>Placement and interaction yield</x:v>
      </x:c>
      <x:c r="B9" s="57" t="str">
        <x:v>Instrumented coverage and fire-effect evidence</x:v>
      </x:c>
      <x:c r="C9" s="58" t="str">
        <x:v>Not verified</x:v>
      </x:c>
      <x:c r="D9" s="57" t="str">
        <x:v>Full-scale drop grids and burns</x:v>
      </x:c>
      <x:c r="E9" s="57" t="str">
        <x:v>Operational test authority</x:v>
      </x:c>
      <x:c r="F9" s="57" t="str">
        <x:v>Blocks rendering until verified</x:v>
      </x:c>
    </x:row>
    <x:row r="10">
      <x:c r="A10" s="57" t="str">
        <x:v>Line production and hold</x:v>
      </x:c>
      <x:c r="B10" s="57" t="str">
        <x:v>Production distributions and breach behavior</x:v>
      </x:c>
      <x:c r="C10" s="58" t="str">
        <x:v>Not verified</x:v>
      </x:c>
      <x:c r="D10" s="57" t="str">
        <x:v>Fuel/slope/shift trials</x:v>
      </x:c>
      <x:c r="E10" s="57" t="str">
        <x:v>Land systems test authority</x:v>
      </x:c>
      <x:c r="F10" s="57" t="str">
        <x:v>Blocks rendering until verified</x:v>
      </x:c>
    </x:row>
    <x:row r="11">
      <x:c r="A11" s="57" t="str">
        <x:v>Water, agent and base flow</x:v>
      </x:c>
      <x:c r="B11" s="57" t="str">
        <x:v>Hydraulic, mix, queue and fault balances</x:v>
      </x:c>
      <x:c r="C11" s="58" t="str">
        <x:v>Not verified</x:v>
      </x:c>
      <x:c r="D11" s="57" t="str">
        <x:v>Surge and single-fault exercise</x:v>
      </x:c>
      <x:c r="E11" s="57" t="str">
        <x:v>Independent engineering team</x:v>
      </x:c>
      <x:c r="F11" s="57" t="str">
        <x:v>Blocks rendering until verified</x:v>
      </x:c>
    </x:row>
    <x:row r="12">
      <x:c r="A12" s="57" t="str">
        <x:v>Mixed-airspace safety</x:v>
      </x:c>
      <x:c r="B12" s="57" t="str">
        <x:v>Safe crewed/uncrewed operation in degraded conditions</x:v>
      </x:c>
      <x:c r="C12" s="58" t="str">
        <x:v>Not verified</x:v>
      </x:c>
      <x:c r="D12" s="57" t="str">
        <x:v>Progressive day/night certification</x:v>
      </x:c>
      <x:c r="E12" s="57" t="str">
        <x:v>Aviation regulator / test authority</x:v>
      </x:c>
      <x:c r="F12" s="57" t="str">
        <x:v>Blocks rendering until verified</x:v>
      </x:c>
    </x:row>
    <x:row r="13">
      <x:c r="A13" s="57" t="str">
        <x:v>Aircraft physics</x:v>
      </x:c>
      <x:c r="B13" s="57" t="str">
        <x:v>Loads, fatigue, propulsion, stability and maintainability</x:v>
      </x:c>
      <x:c r="C13" s="58" t="str">
        <x:v>Not verified</x:v>
      </x:c>
      <x:c r="D13" s="57" t="str">
        <x:v>Full-scale articles and fleet trials</x:v>
      </x:c>
      <x:c r="E13" s="57" t="str">
        <x:v>Aviation test authority</x:v>
      </x:c>
      <x:c r="F13" s="57" t="str">
        <x:v>Blocks rendering until verified</x:v>
      </x:c>
    </x:row>
    <x:row r="14">
      <x:c r="A14" s="57" t="str">
        <x:v>Ground robotics</x:v>
      </x:c>
      <x:c r="B14" s="57" t="str">
        <x:v>Perception, stop, recovery, productivity and assurance</x:v>
      </x:c>
      <x:c r="C14" s="58" t="str">
        <x:v>Not verified</x:v>
      </x:c>
      <x:c r="D14" s="57" t="str">
        <x:v>NIST-style mission-profile test</x:v>
      </x:c>
      <x:c r="E14" s="57" t="str">
        <x:v>Robotics test authority</x:v>
      </x:c>
      <x:c r="F14" s="57" t="str">
        <x:v>Blocks rendering until verified</x:v>
      </x:c>
    </x:row>
    <x:row r="15">
      <x:c r="A15" s="57" t="str">
        <x:v>Structure defense</x:v>
      </x:c>
      <x:c r="B15" s="57" t="str">
        <x:v>Exposure-rated performance after weathering and error</x:v>
      </x:c>
      <x:c r="C15" s="58" t="str">
        <x:v>Not verified</x:v>
      </x:c>
      <x:c r="D15" s="57" t="str">
        <x:v>Parcel and cluster fire test</x:v>
      </x:c>
      <x:c r="E15" s="57" t="str">
        <x:v>NIST / independent laboratory</x:v>
      </x:c>
      <x:c r="F15" s="57" t="str">
        <x:v>Blocks rendering until verified</x:v>
      </x:c>
    </x:row>
    <x:row r="16">
      <x:c r="A16" s="57" t="str">
        <x:v>Smoke and thermal protection</x:v>
      </x:c>
      <x:c r="B16" s="57" t="str">
        <x:v>Defined health envelope, access and field performance</x:v>
      </x:c>
      <x:c r="C16" s="58" t="str">
        <x:v>Not verified</x:v>
      </x:c>
      <x:c r="D16" s="57" t="str">
        <x:v>Population and responder trial</x:v>
      </x:c>
      <x:c r="E16" s="57" t="str">
        <x:v>Health test authority</x:v>
      </x:c>
      <x:c r="F16" s="57" t="str">
        <x:v>Blocks rendering until verified</x:v>
      </x:c>
    </x:row>
    <x:row r="17">
      <x:c r="A17" s="57" t="str">
        <x:v>Deployment manifest</x:v>
      </x:c>
      <x:c r="B17" s="57" t="str">
        <x:v>Itemized weights, dimensions and arrival sequence</x:v>
      </x:c>
      <x:c r="C17" s="58" t="str">
        <x:v>Not verified</x:v>
      </x:c>
      <x:c r="D17" s="57" t="str">
        <x:v>Strategic movement exercise</x:v>
      </x:c>
      <x:c r="E17" s="57" t="str">
        <x:v>Mobility command / independent test</x:v>
      </x:c>
      <x:c r="F17" s="57" t="str">
        <x:v>Blocks rendering until verified</x:v>
      </x:c>
    </x:row>
    <x:row r="18">
      <x:c r="A18" s="57" t="str">
        <x:v>Workforce endurance</x:v>
      </x:c>
      <x:c r="B18" s="57" t="str">
        <x:v>Qualifications, shifts, rotation and pipeline</x:v>
      </x:c>
      <x:c r="C18" s="58" t="str">
        <x:v>Not verified</x:v>
      </x:c>
      <x:c r="D18" s="57" t="str">
        <x:v>Multi-cycle campaign exercise</x:v>
      </x:c>
      <x:c r="E18" s="57" t="str">
        <x:v>Personnel and health evaluators</x:v>
      </x:c>
      <x:c r="F18" s="57" t="str">
        <x:v>Blocks rendering until verified</x:v>
      </x:c>
    </x:row>
    <x:row r="19">
      <x:c r="A19" s="57" t="str">
        <x:v>Concurrent availability</x:v>
      </x:c>
      <x:c r="B19" s="57" t="str">
        <x:v>Simultaneous package readiness and regeneration</x:v>
      </x:c>
      <x:c r="C19" s="58" t="str">
        <x:v>Not verified</x:v>
      </x:c>
      <x:c r="D19" s="57" t="str">
        <x:v>Multi-region force-generation exercise</x:v>
      </x:c>
      <x:c r="E19" s="57" t="str">
        <x:v>Independent readiness office</x:v>
      </x:c>
      <x:c r="F19" s="57" t="str">
        <x:v>Blocks rendering until verified</x:v>
      </x:c>
    </x:row>
    <x:row r="20">
      <x:c r="A20" s="57" t="str">
        <x:v>Environmental fate</x:v>
      </x:c>
      <x:c r="B20" s="57" t="str">
        <x:v>Agent, waterway, soil and occupational controls</x:v>
      </x:c>
      <x:c r="C20" s="58" t="str">
        <x:v>Not verified</x:v>
      </x:c>
      <x:c r="D20" s="57" t="str">
        <x:v>Qualified chemistry and field monitoring</x:v>
      </x:c>
      <x:c r="E20" s="57" t="str">
        <x:v>Independent environmental authority</x:v>
      </x:c>
      <x:c r="F20" s="57" t="str">
        <x:v>Blocks rendering until verified</x:v>
      </x:c>
    </x:row>
    <x:row r="21">
      <x:c r="A21" s="57" t="str">
        <x:v>Lifecycle cost and industry</x:v>
      </x:c>
      <x:c r="B21" s="57" t="str">
        <x:v>Independent cost, schedule, production and depot evidence</x:v>
      </x:c>
      <x:c r="C21" s="58" t="str">
        <x:v>Not verified</x:v>
      </x:c>
      <x:c r="D21" s="57" t="str">
        <x:v>Reference-class forecast and supplier audit</x:v>
      </x:c>
      <x:c r="E21" s="57" t="str">
        <x:v>Independent cost office</x:v>
      </x:c>
      <x:c r="F21" s="57" t="str">
        <x:v>Blocks rendering until verified</x:v>
      </x:c>
    </x:row>
    <x:row r="22">
      <x:c r="A22" s="57" t="str">
        <x:v>Integrated mission thread</x:v>
      </x:c>
      <x:c r="B22" s="57" t="str">
        <x:v>End-to-end civil effect under representative failure</x:v>
      </x:c>
      <x:c r="C22" s="58" t="str">
        <x:v>Not verified</x:v>
      </x:c>
      <x:c r="D22" s="57" t="str">
        <x:v>Operational campaign test</x:v>
      </x:c>
      <x:c r="E22" s="57" t="str">
        <x:v>Resilience Test and Evaluation Authority</x:v>
      </x:c>
      <x:c r="F22" s="57" t="str">
        <x:v>Blocks rendering until verified</x:v>
      </x:c>
    </x:row>
    <x:row r="23">
      <x:c r="A23" s="57"/>
      <x:c r="B23" s="57"/>
      <x:c r="C23" s="57"/>
      <x:c r="D23" s="57"/>
      <x:c r="E23" s="57"/>
      <x:c r="F23" s="57"/>
    </x:row>
    <x:row r="24">
      <x:c r="A24" s="57"/>
      <x:c r="B24" s="57"/>
      <x:c r="C24" s="57"/>
      <x:c r="D24" s="57"/>
      <x:c r="E24" s="57"/>
      <x:c r="F24" s="57"/>
    </x:row>
    <x:row r="25">
      <x:c r="A25" s="10" t="str">
        <x:v>Open gates</x:v>
      </x:c>
      <x:c r="B25" s="11" t="str">
        <x:v>Verified gates</x:v>
      </x:c>
      <x:c r="C25" s="12" t="str">
        <x:v>Maturity</x:v>
      </x:c>
      <x:c r="D25" s="57"/>
      <x:c r="E25" s="57"/>
      <x:c r="F25" s="57"/>
    </x:row>
    <x:row r="26">
      <x:c r="A26" s="77" t="n">
        <x:f>COUNTIF(C5:C22,"&lt;&gt;Verified")</x:f>
        <x:v>18</x:v>
      </x:c>
      <x:c r="B26" s="77" t="n">
        <x:f>COUNTIF(C5:C22,"Verified")</x:f>
        <x:v>0</x:v>
      </x:c>
      <x:c r="C26" s="92" t="str">
        <x:f>IF(B26=18,"R3","R2+")</x:f>
        <x:v>R2+</x:v>
      </x:c>
      <x:c r="D26" s="57"/>
      <x:c r="E26" s="57"/>
      <x:c r="F26" s="57"/>
    </x:row>
    <x:row r="27">
      <x:c r="A27" s="57"/>
      <x:c r="B27" s="57"/>
      <x:c r="C27" s="57"/>
      <x:c r="D27" s="57"/>
      <x:c r="E27" s="57"/>
      <x:c r="F27" s="57"/>
    </x:row>
    <x:row r="28">
      <x:c r="A28" s="57"/>
      <x:c r="B28" s="57"/>
      <x:c r="C28" s="57"/>
      <x:c r="D28" s="57"/>
      <x:c r="E28" s="57"/>
      <x:c r="F28" s="57"/>
    </x:row>
    <x:row r="29">
      <x:c r="A29" s="125" t="str">
        <x:v>Gate semantics</x:v>
      </x:c>
      <x:c r="B29" s="125" t="str">
        <x:v>Verified means representative evidence reviewed by the named independent function. A paper design, vendor demonstration or successful formula is not verification.</x:v>
      </x:c>
      <x:c r="C29" s="125"/>
      <x:c r="D29" s="125"/>
      <x:c r="E29" s="125"/>
      <x:c r="F29" s="125"/>
    </x:row>
    <x:row r="30">
      <x:c r="A30" s="125" t="str">
        <x:v>Rendering rule</x:v>
      </x:c>
      <x:c r="B30" s="125" t="str">
        <x:v>All gates remain open. Vehicle and formation renderings are prohibited until configuration, interfaces and evidence are mature enough that geometry communicates rather than invents requirements.</x:v>
      </x:c>
      <x:c r="C30" s="125"/>
      <x:c r="D30" s="125"/>
      <x:c r="E30" s="125"/>
      <x:c r="F30" s="125"/>
    </x:row>
  </x:sheetData>
  <x:mergeCells>
    <x:mergeCell ref="B29:F29"/>
    <x:mergeCell ref="B30:F30"/>
  </x:mergeCells>
  <x:conditionalFormatting sqref="C5:C22">
    <x:cfRule type="containsText" dxfId="4" priority="1" operator="containsText" text="Verified"/>
    <x:cfRule type="containsText" dxfId="5" priority="2" operator="containsText" text="Not verified"/>
  </x:conditionalFormatting>
  <x:conditionalFormatting sqref="C26:C26">
    <x:cfRule type="containsText" dxfId="6" priority="3" operator="containsText" text="R2+"/>
  </x:conditionalFormatting>
  <x:dataValidations count="1">
    <x:dataValidation type="list" sqref="C5:C22">
      <x:formula1>"Not verified,Partial,Verified"</x:formula1>
    </x:dataValidation>
  </x:dataValidations>
  <x:pageMargins left="0.7" right="0.7" top="0.75" bottom="0.75" header="0.3" footer="0.3"/>
</x:worksheet>
</file>