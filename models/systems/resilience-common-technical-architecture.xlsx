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50a78e3d4c42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873abcd68508436a"/>
    <x:sheet xmlns:r="http://schemas.openxmlformats.org/officeDocument/2006/relationships" name="Controls" sheetId="2" r:id="R9c2f43c9289e4886"/>
    <x:sheet xmlns:r="http://schemas.openxmlformats.org/officeDocument/2006/relationships" name="Architecture Investment" sheetId="3" r:id="R503e9c2d9869426c"/>
    <x:sheet xmlns:r="http://schemas.openxmlformats.org/officeDocument/2006/relationships" name="Interface Register" sheetId="4" r:id="Ra5017e05d80e4555"/>
    <x:sheet xmlns:r="http://schemas.openxmlformats.org/officeDocument/2006/relationships" name="System Register" sheetId="5" r:id="R5515fd35bc5a4efb"/>
    <x:sheet xmlns:r="http://schemas.openxmlformats.org/officeDocument/2006/relationships" name="Requirement Matrix" sheetId="6" r:id="R52f10b3c55df478f"/>
    <x:sheet xmlns:r="http://schemas.openxmlformats.org/officeDocument/2006/relationships" name="Conformance Results" sheetId="7" r:id="R274d9aa5cf4d4490"/>
    <x:sheet xmlns:r="http://schemas.openxmlformats.org/officeDocument/2006/relationships" name="Failure Propagation" sheetId="8" r:id="Re3226459f12a4579"/>
    <x:sheet xmlns:r="http://schemas.openxmlformats.org/officeDocument/2006/relationships" name="Degraded Modes" sheetId="9" r:id="R79131c2a48f54614"/>
    <x:sheet xmlns:r="http://schemas.openxmlformats.org/officeDocument/2006/relationships" name="Authority Model" sheetId="10" r:id="R33f939339a6d41ea"/>
    <x:sheet xmlns:r="http://schemas.openxmlformats.org/officeDocument/2006/relationships" name="Data Contract" sheetId="11" r:id="R60ddde8eb6c24d73"/>
    <x:sheet xmlns:r="http://schemas.openxmlformats.org/officeDocument/2006/relationships" name="Physical Bands" sheetId="12" r:id="Rad2600f9ba2f4448"/>
    <x:sheet xmlns:r="http://schemas.openxmlformats.org/officeDocument/2006/relationships" name="Digital Thread" sheetId="13" r:id="Rbd4fc94e8f3c4b00"/>
    <x:sheet xmlns:r="http://schemas.openxmlformats.org/officeDocument/2006/relationships" name="Interop Trials" sheetId="14" r:id="R5f37be7189404a47"/>
    <x:sheet xmlns:r="http://schemas.openxmlformats.org/officeDocument/2006/relationships" name="Transition Roadmap" sheetId="15" r:id="R0f2c5ef2583b41c6"/>
    <x:sheet xmlns:r="http://schemas.openxmlformats.org/officeDocument/2006/relationships" name="Checks" sheetId="16" r:id="R503efa8df2034ac3"/>
    <x:sheet xmlns:r="http://schemas.openxmlformats.org/officeDocument/2006/relationships" name="Sources" sheetId="17" r:id="R2e971d19198c45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$0.0&quot;B&quot;"/>
  </x:numFmts>
  <x:fonts count="8">
    <x:font>
      <x:sz val="11"/>
      <x:name val="Carlito"/>
    </x:font>
    <x:font>
      <x:b/>
      <x:sz val="18"/>
      <x:color rgb="FF17324D"/>
      <x:name val="Arial"/>
    </x:font>
    <x:font>
      <x:i/>
      <x:sz val="10"/>
      <x:color rgb="FF455A64"/>
      <x:name val="Arial"/>
    </x:font>
    <x:font>
      <x:b/>
      <x:sz val="11"/>
      <x:color rgb="FF17324D"/>
      <x:name val="Arial"/>
    </x:font>
    <x:font>
      <x:b/>
      <x:sz val="10"/>
      <x:color rgb="FF1D2731"/>
      <x:name val="Arial"/>
    </x:font>
    <x:font>
      <x:sz val="10"/>
      <x:color rgb="FF1D2731"/>
      <x:name val="Arial"/>
    </x:font>
    <x:font>
      <x:b/>
      <x:sz val="10"/>
      <x:color rgb="FFFFFFFF"/>
      <x:name val="Arial"/>
    </x:font>
    <x:font>
      <x:i/>
      <x:sz val="10"/>
      <x:color rgb="FF1D273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85B7A"/>
      </x:patternFill>
    </x:fill>
    <x:fill>
      <x:patternFill patternType="solid">
        <x:fgColor rgb="FFEAF1F5"/>
      </x:patternFill>
    </x:fill>
    <x:fill>
      <x:patternFill patternType="solid">
        <x:fgColor rgb="FFFFF2CC"/>
      </x:patternFill>
    </x:fill>
    <x:fill>
      <x:patternFill patternType="solid">
        <x:fgColor rgb="FF17324D"/>
      </x:patternFill>
    </x:fill>
    <x:fill>
      <x:patternFill patternType="solid">
        <x:fgColor rgb="FFE7E6E6"/>
      </x:patternFill>
    </x:fill>
  </x:fills>
  <x:borders count="2">
    <x:border/>
    <x:border>
      <x:bottom style="thin">
        <x:color rgb="FFFFFFFF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201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4" borderId="0" xfId="0" applyNumberFormat="1" applyFont="1" applyFill="1" applyBorder="1"/>
    <x:xf numFmtId="200" fontId="5" fillId="4" borderId="0" xfId="0" applyNumberFormat="1" applyFont="1" applyFill="1" applyBorder="1"/>
    <x:xf numFmtId="201" fontId="5" fillId="0" borderId="0" xfId="0" applyNumberFormat="1" applyFont="1" applyFill="1" applyBorder="1"/>
    <x:xf numFmtId="0" fontId="4" fillId="5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vertical="top"/>
    </x:xf>
    <x:xf numFmtId="200" fontId="5" fillId="4" borderId="0" xfId="0" applyNumberFormat="1" applyFont="1" applyFill="1" applyBorder="1" applyAlignment="1">
      <x:alignment vertical="top"/>
    </x:xf>
    <x:xf numFmtId="201" fontId="5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/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201" fontId="0" fillId="6" borderId="0" xfId="0" applyNumberFormat="1" applyFont="1" applyFill="1" applyBorder="1"/>
    <x:xf numFmtId="200" fontId="5" fillId="0" borderId="0" xfId="0" applyNumberFormat="1" applyFont="1" applyFill="1" applyBorder="1"/>
    <x:xf numFmtId="0" fontId="5" fillId="6" borderId="0" xfId="0" applyNumberFormat="1" applyFont="1" applyFill="1" applyBorder="1"/>
    <x:xf numFmtId="200" fontId="5" fillId="6" borderId="0" xfId="0" applyNumberFormat="1" applyFont="1" applyFill="1" applyBorder="1"/>
    <x:xf numFmtId="201" fontId="5" fillId="6" borderId="0" xfId="0" applyNumberFormat="1" applyFont="1" applyFill="1" applyBorder="1"/>
    <x:xf numFmtId="200" fontId="5" fillId="0" borderId="0" xfId="0" applyNumberFormat="1" applyFont="1" applyFill="1" applyBorder="1" applyAlignment="1">
      <x:alignment vertical="top"/>
    </x:xf>
    <x:xf numFmtId="0" fontId="5" fillId="6" borderId="0" xfId="0" applyNumberFormat="1" applyFont="1" applyFill="1" applyBorder="1" applyAlignment="1">
      <x:alignment vertical="top"/>
    </x:xf>
    <x:xf numFmtId="200" fontId="5" fillId="6" borderId="0" xfId="0" applyNumberFormat="1" applyFont="1" applyFill="1" applyBorder="1" applyAlignment="1">
      <x:alignment vertical="top"/>
    </x:xf>
    <x:xf numFmtId="201" fontId="5" fillId="6" borderId="0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7" fillId="0" borderId="0" xfId="0" applyNumberFormat="1" applyFont="1" applyFill="1" applyBorder="1"/>
    <x:xf numFmtId="0" fontId="5" fillId="2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/>
    </x:xf>
    <x:xf numFmtId="0" fontId="5" fillId="2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6f37d331104e05" /><Relationship Type="http://schemas.openxmlformats.org/officeDocument/2006/relationships/theme" Target="/xl/theme/theme1.xml" Id="R5af2cedf94864c79" /><Relationship Type="http://schemas.openxmlformats.org/officeDocument/2006/relationships/sharedStrings" Target="/xl/sharedStrings.xml" Id="Reca4a972697f48dc" /><Relationship Type="http://schemas.openxmlformats.org/officeDocument/2006/relationships/worksheet" Target="/xl/worksheets/sheet1.xml" Id="R873abcd68508436a" /><Relationship Type="http://schemas.openxmlformats.org/officeDocument/2006/relationships/worksheet" Target="/xl/worksheets/sheet2.xml" Id="R9c2f43c9289e4886" /><Relationship Type="http://schemas.openxmlformats.org/officeDocument/2006/relationships/worksheet" Target="/xl/worksheets/sheet3.xml" Id="R503e9c2d9869426c" /><Relationship Type="http://schemas.openxmlformats.org/officeDocument/2006/relationships/worksheet" Target="/xl/worksheets/sheet4.xml" Id="Ra5017e05d80e4555" /><Relationship Type="http://schemas.openxmlformats.org/officeDocument/2006/relationships/worksheet" Target="/xl/worksheets/sheet5.xml" Id="R5515fd35bc5a4efb" /><Relationship Type="http://schemas.openxmlformats.org/officeDocument/2006/relationships/worksheet" Target="/xl/worksheets/sheet6.xml" Id="R52f10b3c55df478f" /><Relationship Type="http://schemas.openxmlformats.org/officeDocument/2006/relationships/worksheet" Target="/xl/worksheets/sheet7.xml" Id="R274d9aa5cf4d4490" /><Relationship Type="http://schemas.openxmlformats.org/officeDocument/2006/relationships/worksheet" Target="/xl/worksheets/sheet8.xml" Id="Re3226459f12a4579" /><Relationship Type="http://schemas.openxmlformats.org/officeDocument/2006/relationships/worksheet" Target="/xl/worksheets/sheet9.xml" Id="R79131c2a48f54614" /><Relationship Type="http://schemas.openxmlformats.org/officeDocument/2006/relationships/worksheet" Target="/xl/worksheets/sheet10.xml" Id="R33f939339a6d41ea" /><Relationship Type="http://schemas.openxmlformats.org/officeDocument/2006/relationships/worksheet" Target="/xl/worksheets/sheet11.xml" Id="R60ddde8eb6c24d73" /><Relationship Type="http://schemas.openxmlformats.org/officeDocument/2006/relationships/worksheet" Target="/xl/worksheets/sheet12.xml" Id="Rad2600f9ba2f4448" /><Relationship Type="http://schemas.openxmlformats.org/officeDocument/2006/relationships/worksheet" Target="/xl/worksheets/sheet13.xml" Id="Rbd4fc94e8f3c4b00" /><Relationship Type="http://schemas.openxmlformats.org/officeDocument/2006/relationships/worksheet" Target="/xl/worksheets/sheet14.xml" Id="R5f37be7189404a47" /><Relationship Type="http://schemas.openxmlformats.org/officeDocument/2006/relationships/worksheet" Target="/xl/worksheets/sheet15.xml" Id="R0f2c5ef2583b41c6" /><Relationship Type="http://schemas.openxmlformats.org/officeDocument/2006/relationships/worksheet" Target="/xl/worksheets/sheet16.xml" Id="R503efa8df2034ac3" /><Relationship Type="http://schemas.openxmlformats.org/officeDocument/2006/relationships/worksheet" Target="/xl/worksheets/sheet17.xml" Id="R2e971d19198c45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12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</x:cols>
  <x:sheetData>
    <x:row r="1">
      <x:c r="A1" s="49" t="str">
        <x:v>Resilience common technical architecture</x:v>
      </x:c>
      <x:c r="B1" s="46"/>
      <x:c r="C1" s="46"/>
      <x:c r="D1" s="46"/>
      <x:c r="E1" s="46"/>
      <x:c r="F1" s="46"/>
      <x:c r="G1" s="46"/>
      <x:c r="H1" s="46"/>
    </x:row>
    <x:row r="2">
      <x:c r="A2" s="47" t="str">
        <x:v>Configuration-planning model for Department-wide interfaces, conformance, degraded operation and transition. All unsourced values are design hypotheses.</x:v>
      </x:c>
      <x:c r="B2" s="47"/>
      <x:c r="C2" s="47"/>
      <x:c r="D2" s="47"/>
      <x:c r="E2" s="47"/>
      <x:c r="F2" s="47"/>
      <x:c r="G2" s="47"/>
      <x:c r="H2" s="47"/>
    </x:row>
    <x:row r="3" ht="3" customHeight="1">
      <x:c r="A3" s="48"/>
      <x:c r="B3" s="48"/>
      <x:c r="C3" s="48"/>
      <x:c r="D3" s="48"/>
      <x:c r="E3" s="48"/>
      <x:c r="F3" s="48"/>
      <x:c r="G3" s="48"/>
      <x:c r="H3" s="48"/>
      <x:c r="I3" s="3"/>
      <x:c r="J3" s="3"/>
      <x:c r="K3" s="3"/>
      <x:c r="L3" s="3"/>
      <x:c r="M3" s="3"/>
      <x:c r="N3" s="3"/>
    </x:row>
    <x:row r="4">
      <x:c r="A4" s="26"/>
      <x:c r="B4" s="26"/>
      <x:c r="C4" s="26"/>
      <x:c r="D4" s="26"/>
      <x:c r="E4" s="26"/>
      <x:c r="F4" s="26"/>
      <x:c r="G4" s="26"/>
      <x:c r="H4" s="26"/>
    </x:row>
    <x:row r="5" ht="44" customHeight="1">
      <x:c r="A5" s="10" t="str">
        <x:v>Purpose</x:v>
      </x:c>
      <x:c r="B5" s="11" t="str">
        <x:v>Define the shared architecture that lets independently developed disaster systems connect, exchange trusted state, obey civil authority, fail locally, operate without cloud services and retain production provenance.</x:v>
      </x:c>
      <x:c r="C5" s="26"/>
      <x:c r="D5" s="26"/>
      <x:c r="E5" s="26"/>
      <x:c r="F5" s="26"/>
      <x:c r="G5" s="26"/>
      <x:c r="H5" s="26"/>
    </x:row>
    <x:row r="6" ht="44" customHeight="1">
      <x:c r="A6" s="10" t="str">
        <x:v>Decision use</x:v>
      </x:c>
      <x:c r="B6" s="11" t="str">
        <x:v>Identify interface contracts, system dependencies, common-mode hazards, missing conformance evidence, investment balance and the trials required before a system can claim interoperability.</x:v>
      </x:c>
      <x:c r="C6" s="26"/>
      <x:c r="D6" s="26"/>
      <x:c r="E6" s="26"/>
      <x:c r="F6" s="26"/>
      <x:c r="G6" s="26"/>
      <x:c r="H6" s="26"/>
    </x:row>
    <x:row r="7" ht="44" customHeight="1">
      <x:c r="A7" s="10" t="str">
        <x:v>Scope</x:v>
      </x:c>
      <x:c r="B7" s="11" t="str">
        <x:v>Ten primitives from Pass 16; fifty interface-control records; twenty-five representative system families; cyber-physical, human, environmental and manufacturing boundaries.</x:v>
      </x:c>
      <x:c r="C7" s="26"/>
      <x:c r="D7" s="26"/>
      <x:c r="E7" s="26"/>
      <x:c r="F7" s="26"/>
      <x:c r="G7" s="26"/>
      <x:c r="H7" s="26"/>
    </x:row>
    <x:row r="8" ht="44" customHeight="1">
      <x:c r="A8" s="10" t="str">
        <x:v>Not a specification</x:v>
      </x:c>
      <x:c r="B8" s="11" t="str">
        <x:v>Voltage, flow, pressure, data, autonomy and module bands are exploration envelopes. Qualified standards, connector selections, safety cases and engineering drawings remain open.</x:v>
      </x:c>
      <x:c r="C8" s="26"/>
      <x:c r="D8" s="26"/>
      <x:c r="E8" s="26"/>
      <x:c r="F8" s="26"/>
      <x:c r="G8" s="26"/>
      <x:c r="H8" s="26"/>
    </x:row>
    <x:row r="9" ht="44" customHeight="1">
      <x:c r="A9" s="10" t="str">
        <x:v>Architecture maturity</x:v>
      </x:c>
      <x:c r="B9" s="11" t="str">
        <x:v>0 absent; 1 interface concept; 2 laboratory conformance; 3 representative mission; 4 replicated field standard.</x:v>
      </x:c>
      <x:c r="C9" s="26"/>
      <x:c r="D9" s="26"/>
      <x:c r="E9" s="26"/>
      <x:c r="F9" s="26"/>
      <x:c r="G9" s="26"/>
      <x:c r="H9" s="26"/>
    </x:row>
    <x:row r="10" ht="44" customHeight="1">
      <x:c r="A10" s="10" t="str">
        <x:v>System role</x:v>
      </x:c>
      <x:c r="B10" s="11" t="str">
        <x:v>0 none; 1 consumes; 2 provides; 3 controls or makes a high-consequence decision through the primitive.</x:v>
      </x:c>
      <x:c r="C10" s="26"/>
      <x:c r="D10" s="26"/>
      <x:c r="E10" s="26"/>
      <x:c r="F10" s="26"/>
      <x:c r="G10" s="26"/>
      <x:c r="H10" s="26"/>
    </x:row>
    <x:row r="11" ht="44" customHeight="1">
      <x:c r="A11" s="10" t="str">
        <x:v>Rendering rule</x:v>
      </x:c>
      <x:c r="B11" s="11" t="str">
        <x:v>Architecture closure does not replace physics closure. A system is rendering-eligible only at project R3 with no unclosed required primitive and at least the selected weighted-closure threshold.</x:v>
      </x:c>
      <x:c r="C11" s="26"/>
      <x:c r="D11" s="26"/>
      <x:c r="E11" s="26"/>
      <x:c r="F11" s="26"/>
      <x:c r="G11" s="26"/>
      <x:c r="H11" s="26"/>
    </x:row>
    <x:row r="12" ht="44" customHeight="1">
      <x:c r="A12" s="10" t="str">
        <x:v>Funding interpretation</x:v>
      </x:c>
      <x:c r="B12" s="11" t="str">
        <x:v>The common-layer allocation is a cross-classification inside the selected technology envelope from Pass 16. It is not additive to that envelope or to service portfolios.</x:v>
      </x:c>
      <x:c r="C12" s="26"/>
      <x:c r="D12" s="26"/>
      <x:c r="E12" s="26"/>
      <x:c r="F12" s="26"/>
      <x:c r="G12" s="26"/>
      <x:c r="H12" s="26"/>
    </x:row>
    <x:row r="13" ht="44" customHeight="1">
      <x:c r="A13" s="10" t="str">
        <x:v>Edit locations</x:v>
      </x:c>
      <x:c r="B13" s="11" t="str">
        <x:v>Yellow cells in Controls, Architecture Investment, Interface Register, Requirement Matrix and Failure Propagation are the explicit assumptions.</x:v>
      </x:c>
      <x:c r="C13" s="26"/>
      <x:c r="D13" s="26"/>
      <x:c r="E13" s="26"/>
      <x:c r="F13" s="26"/>
      <x:c r="G13" s="26"/>
      <x:c r="H13" s="26"/>
    </x:row>
    <x:row r="14" ht="44" customHeight="1">
      <x:c r="A14" s="10" t="str">
        <x:v>Evidence</x:v>
      </x:c>
      <x:c r="B14" s="11" t="str">
        <x:v>Current programs and standards provide methods and lower bounds. The Department architecture, thresholds, bands, maturity and costs remain hypotheses until independent RTEA work.</x:v>
      </x:c>
      <x:c r="C14" s="26"/>
      <x:c r="D14" s="26"/>
      <x:c r="E14" s="26"/>
      <x:c r="F14" s="26"/>
      <x:c r="G14" s="26"/>
      <x:c r="H14" s="2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8" hidden="0" customWidth="1"/>
    <x:col min="3" max="3" width="20" hidden="0" customWidth="1"/>
    <x:col min="4" max="4" width="15" hidden="0" customWidth="1"/>
    <x:col min="5" max="5" width="71" hidden="0" customWidth="1"/>
    <x:col min="6" max="6" width="2" hidden="0" customWidth="1"/>
  </x:cols>
  <x:sheetData>
    <x:row r="1">
      <x:c r="A1" s="49" t="str">
        <x:v>Model controls</x:v>
      </x:c>
      <x:c r="B1" s="46"/>
      <x:c r="C1" s="46"/>
      <x:c r="D1" s="46"/>
      <x:c r="E1" s="46"/>
      <x:c r="F1" s="46"/>
    </x:row>
    <x:row r="2">
      <x:c r="A2" s="47" t="str">
        <x:v>Edit yellow cells. Evidence levels are architecture evidence, not operational readiness.</x:v>
      </x:c>
      <x:c r="B2" s="47"/>
      <x:c r="C2" s="47"/>
      <x:c r="D2" s="47"/>
      <x:c r="E2" s="47"/>
      <x:c r="F2" s="47"/>
    </x:row>
    <x:row r="3" ht="3" customHeight="1">
      <x:c r="A3" s="48"/>
      <x:c r="B3" s="48"/>
      <x:c r="C3" s="48"/>
      <x:c r="D3" s="48"/>
      <x:c r="E3" s="48"/>
      <x:c r="F3" s="48"/>
      <x:c r="G3" s="3"/>
      <x:c r="H3" s="3"/>
      <x:c r="I3" s="3"/>
      <x:c r="J3" s="3"/>
      <x:c r="K3" s="3"/>
      <x:c r="L3" s="3"/>
      <x:c r="M3" s="3"/>
      <x:c r="N3" s="3"/>
    </x:row>
    <x:row r="4">
      <x:c r="A4" s="26"/>
      <x:c r="B4" s="26"/>
      <x:c r="C4" s="26"/>
      <x:c r="D4" s="26"/>
      <x:c r="E4" s="26"/>
      <x:c r="F4" s="26"/>
    </x:row>
    <x:row r="5">
      <x:c r="A5" s="25" t="str">
        <x:v>Control</x:v>
      </x:c>
      <x:c r="B5" s="25" t="str">
        <x:v>Value</x:v>
      </x:c>
      <x:c r="C5" s="25" t="str">
        <x:v>Unit</x:v>
      </x:c>
      <x:c r="D5" s="25" t="str">
        <x:v>Type</x:v>
      </x:c>
      <x:c r="E5" s="25" t="str">
        <x:v>Meaning</x:v>
      </x:c>
      <x:c r="F5" s="26"/>
    </x:row>
    <x:row r="6">
      <x:c r="A6" s="26" t="str">
        <x:v>Selected technology envelope</x:v>
      </x:c>
      <x:c r="B6" s="27" t="n">
        <x:v>2000</x:v>
      </x:c>
      <x:c r="C6" s="26" t="str">
        <x:v>$B real 2026</x:v>
      </x:c>
      <x:c r="D6" s="26" t="str">
        <x:v>Input</x:v>
      </x:c>
      <x:c r="E6" s="26" t="str">
        <x:v>Selected strategic case from Pass 16</x:v>
      </x:c>
      <x:c r="F6" s="26"/>
    </x:row>
    <x:row r="7">
      <x:c r="A7" s="26" t="str">
        <x:v>Common architecture share</x:v>
      </x:c>
      <x:c r="B7" s="28" t="n">
        <x:v>0.2</x:v>
      </x:c>
      <x:c r="C7" s="26" t="str">
        <x:v>share</x:v>
      </x:c>
      <x:c r="D7" s="26" t="str">
        <x:v>Input</x:v>
      </x:c>
      <x:c r="E7" s="26" t="str">
        <x:v>Cross-classification within the technology envelope</x:v>
      </x:c>
      <x:c r="F7" s="26"/>
    </x:row>
    <x:row r="8">
      <x:c r="A8" s="26" t="str">
        <x:v>Common architecture envelope</x:v>
      </x:c>
      <x:c r="B8" s="29" t="n">
        <x:f>B6*B7</x:f>
        <x:v>400</x:v>
      </x:c>
      <x:c r="C8" s="26" t="str">
        <x:v>$B real 2026</x:v>
      </x:c>
      <x:c r="D8" s="26" t="str">
        <x:v>Formula</x:v>
      </x:c>
      <x:c r="E8" s="26" t="str">
        <x:v>Technology envelope × common share</x:v>
      </x:c>
      <x:c r="F8" s="26"/>
    </x:row>
    <x:row r="9">
      <x:c r="A9" s="26" t="str">
        <x:v>Minimum conformance evidence</x:v>
      </x:c>
      <x:c r="B9" s="27" t="n">
        <x:v>3</x:v>
      </x:c>
      <x:c r="C9" s="26" t="str">
        <x:v>level 0–4</x:v>
      </x:c>
      <x:c r="D9" s="26" t="str">
        <x:v>Input</x:v>
      </x:c>
      <x:c r="E9" s="26" t="str">
        <x:v>Representative-mission evidence</x:v>
      </x:c>
      <x:c r="F9" s="26"/>
    </x:row>
    <x:row r="10">
      <x:c r="A10" s="26" t="str">
        <x:v>Weighted closure threshold</x:v>
      </x:c>
      <x:c r="B10" s="28" t="n">
        <x:v>0.8</x:v>
      </x:c>
      <x:c r="C10" s="26" t="str">
        <x:v>share</x:v>
      </x:c>
      <x:c r="D10" s="26" t="str">
        <x:v>Input</x:v>
      </x:c>
      <x:c r="E10" s="26" t="str">
        <x:v>Additional rendering gate; project R3 also required</x:v>
      </x:c>
      <x:c r="F10" s="26"/>
    </x:row>
    <x:row r="11">
      <x:c r="A11" s="26" t="str">
        <x:v>Critical common-mode RPN</x:v>
      </x:c>
      <x:c r="B11" s="27" t="n">
        <x:v>75</x:v>
      </x:c>
      <x:c r="C11" s="26" t="str">
        <x:v>score</x:v>
      </x:c>
      <x:c r="D11" s="26" t="str">
        <x:v>Input</x:v>
      </x:c>
      <x:c r="E11" s="26" t="str">
        <x:v>Likelihood × consequence × detection difficulty</x:v>
      </x:c>
      <x:c r="F11" s="26"/>
    </x:row>
    <x:row r="12">
      <x:c r="A12" s="26" t="str">
        <x:v>Maximum critical common modes</x:v>
      </x:c>
      <x:c r="B12" s="27" t="n">
        <x:v>0</x:v>
      </x:c>
      <x:c r="C12" s="26" t="str">
        <x:v>count</x:v>
      </x:c>
      <x:c r="D12" s="26" t="str">
        <x:v>Input</x:v>
      </x:c>
      <x:c r="E12" s="26" t="str">
        <x:v>Target before field acceptance</x:v>
      </x:c>
      <x:c r="F12" s="26"/>
    </x:row>
    <x:row r="13">
      <x:c r="A13" s="26" t="str">
        <x:v>Required offline duration</x:v>
      </x:c>
      <x:c r="B13" s="27" t="n">
        <x:v>72</x:v>
      </x:c>
      <x:c r="C13" s="26" t="str">
        <x:v>hours</x:v>
      </x:c>
      <x:c r="D13" s="26" t="str">
        <x:v>Input</x:v>
      </x:c>
      <x:c r="E13" s="26" t="str">
        <x:v>Minimum isolated operation before replenishment</x:v>
      </x:c>
      <x:c r="F13" s="26"/>
    </x:row>
    <x:row r="14">
      <x:c r="A14" s="26" t="str">
        <x:v>Maximum clock error</x:v>
      </x:c>
      <x:c r="B14" s="27" t="n">
        <x:v>1</x:v>
      </x:c>
      <x:c r="C14" s="26" t="str">
        <x:v>second</x:v>
      </x:c>
      <x:c r="D14" s="26" t="str">
        <x:v>Input</x:v>
      </x:c>
      <x:c r="E14" s="26" t="str">
        <x:v>Default action/audit target; stricter mission profiles allowed</x:v>
      </x:c>
      <x:c r="F14" s="2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0" hidden="0" customWidth="1"/>
    <x:col min="2" max="2" width="12" hidden="0" customWidth="1"/>
    <x:col min="3" max="3" width="16" hidden="0" customWidth="1"/>
    <x:col min="4" max="4" width="18" hidden="0" customWidth="1"/>
    <x:col min="5" max="5" width="15" hidden="0" customWidth="1"/>
    <x:col min="6" max="6" width="36" hidden="0" customWidth="1"/>
    <x:col min="7" max="7" width="65" hidden="0" customWidth="1"/>
    <x:col min="8" max="8" width="17" hidden="0" customWidth="1"/>
  </x:cols>
  <x:sheetData>
    <x:row r="1">
      <x:c r="A1" s="49" t="str">
        <x:v>Common architecture investment</x:v>
      </x:c>
      <x:c r="B1" s="46"/>
      <x:c r="C1" s="46"/>
      <x:c r="D1" s="46"/>
      <x:c r="E1" s="46"/>
      <x:c r="F1" s="46"/>
      <x:c r="G1" s="46"/>
      <x:c r="H1" s="46"/>
    </x:row>
    <x:row r="2">
      <x:c r="A2" s="47" t="str">
        <x:v>Two reconciled classifications of one common-layer envelope. Primitive and work-type dollars are not additive.</x:v>
      </x:c>
      <x:c r="B2" s="47"/>
      <x:c r="C2" s="47"/>
      <x:c r="D2" s="47"/>
      <x:c r="E2" s="47"/>
      <x:c r="F2" s="47"/>
      <x:c r="G2" s="47"/>
      <x:c r="H2" s="47"/>
    </x:row>
    <x:row r="3" ht="3" customHeight="1">
      <x:c r="A3" s="48"/>
      <x:c r="B3" s="48"/>
      <x:c r="C3" s="48"/>
      <x:c r="D3" s="48"/>
      <x:c r="E3" s="48"/>
      <x:c r="F3" s="48"/>
      <x:c r="G3" s="48"/>
      <x:c r="H3" s="48"/>
      <x:c r="I3" s="3"/>
      <x:c r="J3" s="3"/>
      <x:c r="K3" s="3"/>
      <x:c r="L3" s="3"/>
      <x:c r="M3" s="3"/>
      <x:c r="N3" s="3"/>
    </x:row>
    <x:row r="4">
      <x:c r="A4" s="26"/>
      <x:c r="B4" s="26"/>
      <x:c r="C4" s="26"/>
      <x:c r="D4" s="26"/>
      <x:c r="E4" s="26"/>
      <x:c r="F4" s="26"/>
      <x:c r="G4" s="26"/>
      <x:c r="H4" s="26"/>
    </x:row>
    <x:row r="5">
      <x:c r="A5" s="25" t="str">
        <x:v>Primitive</x:v>
      </x:c>
      <x:c r="B5" s="25" t="str">
        <x:v>Share</x:v>
      </x:c>
      <x:c r="C5" s="25" t="str">
        <x:v>Selected $B</x:v>
      </x:c>
      <x:c r="D5" s="25" t="str">
        <x:v>Current maturity</x:v>
      </x:c>
      <x:c r="E5" s="25" t="str">
        <x:v>Y10 target</x:v>
      </x:c>
      <x:c r="F5" s="25" t="str">
        <x:v>Owner</x:v>
      </x:c>
      <x:c r="G5" s="25" t="str">
        <x:v>Primary output</x:v>
      </x:c>
      <x:c r="H5" s="25" t="str">
        <x:v>Status</x:v>
      </x:c>
    </x:row>
    <x:row r="6">
      <x:c r="A6" s="26" t="str">
        <x:v>Observation fabric</x:v>
      </x:c>
      <x:c r="B6" s="28" t="n">
        <x:v>0.125</x:v>
      </x:c>
      <x:c r="C6" s="29" t="n">
        <x:f>B6*Controls!$B$8</x:f>
        <x:v>50</x:v>
      </x:c>
      <x:c r="D6" s="27" t="n">
        <x:v>1</x:v>
      </x:c>
      <x:c r="E6" s="27" t="n">
        <x:v>3</x:v>
      </x:c>
      <x:c r="F6" s="26" t="str">
        <x:v>Earth Intelligence Directorate</x:v>
      </x:c>
      <x:c r="G6" s="26" t="str">
        <x:v>Time, location, calibration, provenance and uncertainty across sensors</x:v>
      </x:c>
      <x:c r="H6" s="26" t="str">
        <x:f>IF(D6&gt;=E6,"TARGET MET","OPEN")</x:f>
        <x:v>OPEN</x:v>
      </x:c>
    </x:row>
    <x:row r="7">
      <x:c r="A7" s="26" t="str">
        <x:v>Causal digital twin</x:v>
      </x:c>
      <x:c r="B7" s="28" t="n">
        <x:v>0.1</x:v>
      </x:c>
      <x:c r="C7" s="29" t="n">
        <x:f>B7*Controls!$B$8</x:f>
        <x:v>40</x:v>
      </x:c>
      <x:c r="D7" s="27" t="n">
        <x:v>1</x:v>
      </x:c>
      <x:c r="E7" s="27" t="n">
        <x:v>3</x:v>
      </x:c>
      <x:c r="F7" s="26" t="str">
        <x:v>National Resilience Laboratories</x:v>
      </x:c>
      <x:c r="G7" s="26" t="str">
        <x:v>Intervention-aware models with explicit uncertainty and decision value</x:v>
      </x:c>
      <x:c r="H7" s="26" t="str">
        <x:f>IF(D7&gt;=E7,"TARGET MET","OPEN")</x:f>
        <x:v>OPEN</x:v>
      </x:c>
    </x:row>
    <x:row r="8">
      <x:c r="A8" s="26" t="str">
        <x:v>Extreme-environment autonomy</x:v>
      </x:c>
      <x:c r="B8" s="28" t="n">
        <x:v>0.125</x:v>
      </x:c>
      <x:c r="C8" s="29" t="n">
        <x:f>B8*Controls!$B$8</x:f>
        <x:v>50</x:v>
      </x:c>
      <x:c r="D8" s="27" t="n">
        <x:v>0</x:v>
      </x:c>
      <x:c r="E8" s="27" t="n">
        <x:v>3</x:v>
      </x:c>
      <x:c r="F8" s="26" t="str">
        <x:v>Autonomy Directorate</x:v>
      </x:c>
      <x:c r="G8" s="26" t="str">
        <x:v>Common task, authority, health and safe-state behavior</x:v>
      </x:c>
      <x:c r="H8" s="26" t="str">
        <x:f>IF(D8&gt;=E8,"TARGET MET","OPEN")</x:f>
        <x:v>OPEN</x:v>
      </x:c>
    </x:row>
    <x:row r="9">
      <x:c r="A9" s="26" t="str">
        <x:v>Mobile power/fluid/thermal bus</x:v>
      </x:c>
      <x:c r="B9" s="28" t="n">
        <x:v>0.1375</x:v>
      </x:c>
      <x:c r="C9" s="29" t="n">
        <x:f>B9*Controls!$B$8</x:f>
        <x:v>55.00000000000001</x:v>
      </x:c>
      <x:c r="D9" s="27" t="n">
        <x:v>1</x:v>
      </x:c>
      <x:c r="E9" s="27" t="n">
        <x:v>3</x:v>
      </x:c>
      <x:c r="F9" s="26" t="str">
        <x:v>Power and Water Directorates</x:v>
      </x:c>
      <x:c r="G9" s="26" t="str">
        <x:v>Physical utility interfaces, protection, metering and isolation</x:v>
      </x:c>
      <x:c r="H9" s="26" t="str">
        <x:f>IF(D9&gt;=E9,"TARGET MET","OPEN")</x:f>
        <x:v>OPEN</x:v>
      </x:c>
    </x:row>
    <x:row r="10">
      <x:c r="A10" s="26" t="str">
        <x:v>Advanced separations</x:v>
      </x:c>
      <x:c r="B10" s="28" t="n">
        <x:v>0.075</x:v>
      </x:c>
      <x:c r="C10" s="29" t="n">
        <x:f>B10*Controls!$B$8</x:f>
        <x:v>30</x:v>
      </x:c>
      <x:c r="D10" s="27" t="n">
        <x:v>0</x:v>
      </x:c>
      <x:c r="E10" s="27" t="n">
        <x:v>3</x:v>
      </x:c>
      <x:c r="F10" s="26" t="str">
        <x:v>Water and Health Directorates</x:v>
      </x:c>
      <x:c r="G10" s="26" t="str">
        <x:v>Treatment cartridges, feed characterization and quality release</x:v>
      </x:c>
      <x:c r="H10" s="26" t="str">
        <x:f>IF(D10&gt;=E10,"TARGET MET","OPEN")</x:f>
        <x:v>OPEN</x:v>
      </x:c>
    </x:row>
    <x:row r="11">
      <x:c r="A11" s="26" t="str">
        <x:v>Rapid infrastructure fabrication</x:v>
      </x:c>
      <x:c r="B11" s="28" t="n">
        <x:v>0.0875</x:v>
      </x:c>
      <x:c r="C11" s="29" t="n">
        <x:f>B11*Controls!$B$8</x:f>
        <x:v>35</x:v>
      </x:c>
      <x:c r="D11" s="27" t="n">
        <x:v>0</x:v>
      </x:c>
      <x:c r="E11" s="27" t="n">
        <x:v>3</x:v>
      </x:c>
      <x:c r="F11" s="26" t="str">
        <x:v>Materials Directorate</x:v>
      </x:c>
      <x:c r="G11" s="26" t="str">
        <x:v>Digital design, material qualification, installation and removal</x:v>
      </x:c>
      <x:c r="H11" s="26" t="str">
        <x:f>IF(D11&gt;=E11,"TARGET MET","OPEN")</x:f>
        <x:v>OPEN</x:v>
      </x:c>
    </x:row>
    <x:row r="12">
      <x:c r="A12" s="26" t="str">
        <x:v>Adaptive structures/materials</x:v>
      </x:c>
      <x:c r="B12" s="28" t="n">
        <x:v>0.075</x:v>
      </x:c>
      <x:c r="C12" s="29" t="n">
        <x:f>B12*Controls!$B$8</x:f>
        <x:v>30</x:v>
      </x:c>
      <x:c r="D12" s="27" t="n">
        <x:v>0</x:v>
      </x:c>
      <x:c r="E12" s="27" t="n">
        <x:v>3</x:v>
      </x:c>
      <x:c r="F12" s="26" t="str">
        <x:v>Structures Directorate</x:v>
      </x:c>
      <x:c r="G12" s="26" t="str">
        <x:v>Inspectable health state, sacrificial failure and repair</x:v>
      </x:c>
      <x:c r="H12" s="26" t="str">
        <x:f>IF(D12&gt;=E12,"TARGET MET","OPEN")</x:f>
        <x:v>OPEN</x:v>
      </x:c>
    </x:row>
    <x:row r="13">
      <x:c r="A13" s="26" t="str">
        <x:v>Distributed biomanufacturing</x:v>
      </x:c>
      <x:c r="B13" s="28" t="n">
        <x:v>0.0625</x:v>
      </x:c>
      <x:c r="C13" s="29" t="n">
        <x:f>B13*Controls!$B$8</x:f>
        <x:v>25</x:v>
      </x:c>
      <x:c r="D13" s="27" t="n">
        <x:v>0</x:v>
      </x:c>
      <x:c r="E13" s="27" t="n">
        <x:v>3</x:v>
      </x:c>
      <x:c r="F13" s="26" t="str">
        <x:v>Health Directorate</x:v>
      </x:c>
      <x:c r="G13" s="26" t="str">
        <x:v>Recipe, containment, product switch and independent quality release</x:v>
      </x:c>
      <x:c r="H13" s="26" t="str">
        <x:f>IF(D13&gt;=E13,"TARGET MET","OPEN")</x:f>
        <x:v>OPEN</x:v>
      </x:c>
    </x:row>
    <x:row r="14">
      <x:c r="A14" s="26" t="str">
        <x:v>Industrial digital thread</x:v>
      </x:c>
      <x:c r="B14" s="28" t="n">
        <x:v>0.0875</x:v>
      </x:c>
      <x:c r="C14" s="29" t="n">
        <x:f>B14*Controls!$B$8</x:f>
        <x:v>35</x:v>
      </x:c>
      <x:c r="D14" s="27" t="n">
        <x:v>1</x:v>
      </x:c>
      <x:c r="E14" s="27" t="n">
        <x:v>3</x:v>
      </x:c>
      <x:c r="F14" s="26" t="str">
        <x:v>Manufacturing Administration</x:v>
      </x:c>
      <x:c r="G14" s="26" t="str">
        <x:v>Authoritative product, supplier, process, inspection and depot state</x:v>
      </x:c>
      <x:c r="H14" s="26" t="str">
        <x:f>IF(D14&gt;=E14,"TARGET MET","OPEN")</x:f>
        <x:v>OPEN</x:v>
      </x:c>
    </x:row>
    <x:row r="15">
      <x:c r="A15" s="26" t="str">
        <x:v>Resilient comms/edge compute</x:v>
      </x:c>
      <x:c r="B15" s="28" t="n">
        <x:v>0.125</x:v>
      </x:c>
      <x:c r="C15" s="29" t="n">
        <x:f>B15*Controls!$B$8</x:f>
        <x:v>50</x:v>
      </x:c>
      <x:c r="D15" s="27" t="n">
        <x:v>1</x:v>
      </x:c>
      <x:c r="E15" s="27" t="n">
        <x:v>3</x:v>
      </x:c>
      <x:c r="F15" s="26" t="str">
        <x:v>Communications Directorate</x:v>
      </x:c>
      <x:c r="G15" s="26" t="str">
        <x:v>Identity, priority, synchronization and disconnected operation</x:v>
      </x:c>
      <x:c r="H15" s="26" t="str">
        <x:f>IF(D15&gt;=E15,"TARGET MET","OPEN")</x:f>
        <x:v>OPEN</x:v>
      </x:c>
    </x:row>
    <x:row r="16">
      <x:c r="A16" s="26"/>
      <x:c r="B16" s="38"/>
      <x:c r="C16" s="29"/>
      <x:c r="D16" s="26"/>
      <x:c r="E16" s="26"/>
      <x:c r="F16" s="26"/>
      <x:c r="G16" s="26"/>
      <x:c r="H16" s="26"/>
    </x:row>
    <x:row r="17">
      <x:c r="A17" s="39" t="str">
        <x:v>TOTAL</x:v>
      </x:c>
      <x:c r="B17" s="40" t="n">
        <x:f>SUM(B6:B15)</x:f>
        <x:v>1</x:v>
      </x:c>
      <x:c r="C17" s="41" t="n">
        <x:f>SUM(C6:C15)</x:f>
        <x:v>400</x:v>
      </x:c>
      <x:c r="D17" s="39"/>
      <x:c r="E17" s="39"/>
      <x:c r="F17" s="39" t="str"/>
      <x:c r="G17" s="39" t="str"/>
      <x:c r="H17" s="39" t="str"/>
    </x:row>
    <x:row r="18">
      <x:c r="A18" s="26"/>
      <x:c r="B18" s="26"/>
      <x:c r="C18" s="26"/>
      <x:c r="D18" s="26"/>
      <x:c r="E18" s="26"/>
      <x:c r="F18" s="26"/>
      <x:c r="G18" s="26"/>
      <x:c r="H18" s="26"/>
    </x:row>
    <x:row r="19">
      <x:c r="A19" s="26"/>
      <x:c r="B19" s="26"/>
      <x:c r="C19" s="26"/>
      <x:c r="D19" s="26"/>
      <x:c r="E19" s="26"/>
      <x:c r="F19" s="26"/>
      <x:c r="G19" s="26"/>
      <x:c r="H19" s="26"/>
    </x:row>
    <x:row r="20">
      <x:c r="A20" s="25" t="str">
        <x:v>Work type</x:v>
      </x:c>
      <x:c r="B20" s="25" t="str">
        <x:v>Share</x:v>
      </x:c>
      <x:c r="C20" s="25" t="str">
        <x:v>Selected $B</x:v>
      </x:c>
      <x:c r="D20" s="25" t="str">
        <x:v>Output</x:v>
      </x:c>
      <x:c r="E20" s="25" t="str">
        <x:v>Independent acceptance</x:v>
      </x:c>
      <x:c r="F20" s="25" t="str">
        <x:v>Non-substitutable reason</x:v>
      </x:c>
      <x:c r="G20" s="25" t="str"/>
      <x:c r="H20" s="25" t="str"/>
    </x:row>
    <x:row r="21">
      <x:c r="A21" s="26" t="str">
        <x:v>Core science and component R&amp;D</x:v>
      </x:c>
      <x:c r="B21" s="28" t="n">
        <x:v>0.45</x:v>
      </x:c>
      <x:c r="C21" s="29" t="n">
        <x:f>B21*Controls!$B$8</x:f>
        <x:v>180</x:v>
      </x:c>
      <x:c r="D21" s="26" t="str">
        <x:v>Mechanisms, materials, algorithms and component families</x:v>
      </x:c>
      <x:c r="E21" s="26" t="str">
        <x:v>ARPA-R/labs</x:v>
      </x:c>
      <x:c r="F21" s="26" t="str">
        <x:v>Creates technical options</x:v>
      </x:c>
      <x:c r="G21" s="26" t="str"/>
      <x:c r="H21" s="26" t="str"/>
    </x:row>
    <x:row r="22">
      <x:c r="A22" s="26" t="str">
        <x:v>Reference implementations</x:v>
      </x:c>
      <x:c r="B22" s="28" t="n">
        <x:v>0.1</x:v>
      </x:c>
      <x:c r="C22" s="29" t="n">
        <x:f>B22*Controls!$B$8</x:f>
        <x:v>40</x:v>
      </x:c>
      <x:c r="D22" s="26" t="str">
        <x:v>Open hardware/software/fluid/electrical reference systems</x:v>
      </x:c>
      <x:c r="E22" s="26" t="str">
        <x:v>Architecture Office + RTEA</x:v>
      </x:c>
      <x:c r="F22" s="26" t="str">
        <x:v>Prevents standards without working examples</x:v>
      </x:c>
      <x:c r="G22" s="26" t="str"/>
      <x:c r="H22" s="26" t="str"/>
    </x:row>
    <x:row r="23">
      <x:c r="A23" s="26" t="str">
        <x:v>Test harnesses and proving infrastructure</x:v>
      </x:c>
      <x:c r="B23" s="28" t="n">
        <x:v>0.2</x:v>
      </x:c>
      <x:c r="C23" s="29" t="n">
        <x:f>B23*Controls!$B$8</x:f>
        <x:v>80</x:v>
      </x:c>
      <x:c r="D23" s="26" t="str">
        <x:v>Replicable fixtures, simulators, fault injection and ranges</x:v>
      </x:c>
      <x:c r="E23" s="26" t="str">
        <x:v>RTEA</x:v>
      </x:c>
      <x:c r="F23" s="26" t="str">
        <x:v>Makes compatibility falsifiable</x:v>
      </x:c>
      <x:c r="G23" s="26" t="str"/>
      <x:c r="H23" s="26" t="str"/>
    </x:row>
    <x:row r="24">
      <x:c r="A24" s="26" t="str">
        <x:v>Standards and conformance</x:v>
      </x:c>
      <x:c r="B24" s="28" t="n">
        <x:v>0.1</x:v>
      </x:c>
      <x:c r="C24" s="29" t="n">
        <x:f>B24*Controls!$B$8</x:f>
        <x:v>40</x:v>
      </x:c>
      <x:c r="D24" s="26" t="str">
        <x:v>Profiles, test suites, certificates and public registries</x:v>
      </x:c>
      <x:c r="E24" s="26" t="str">
        <x:v>Standards Office + RTEA</x:v>
      </x:c>
      <x:c r="F24" s="26" t="str">
        <x:v>Separates interface claim from evidence</x:v>
      </x:c>
      <x:c r="G24" s="26" t="str"/>
      <x:c r="H24" s="26" t="str"/>
    </x:row>
    <x:row r="25">
      <x:c r="A25" s="26" t="str">
        <x:v>Cyber, safety and public assurance</x:v>
      </x:c>
      <x:c r="B25" s="28" t="n">
        <x:v>0.1</x:v>
      </x:c>
      <x:c r="C25" s="29" t="n">
        <x:f>B25*Controls!$B$8</x:f>
        <x:v>40</x:v>
      </x:c>
      <x:c r="D25" s="26" t="str">
        <x:v>Safety cases, threat models, rights and environmental evidence</x:v>
      </x:c>
      <x:c r="E25" s="26" t="str">
        <x:v>Independent assurance boards</x:v>
      </x:c>
      <x:c r="F25" s="26" t="str">
        <x:v>Bounds common-mode harm</x:v>
      </x:c>
      <x:c r="G25" s="26" t="str"/>
      <x:c r="H25" s="26" t="str"/>
    </x:row>
    <x:row r="26">
      <x:c r="A26" s="26" t="str">
        <x:v>Open data, training and adoption</x:v>
      </x:c>
      <x:c r="B26" s="28" t="n">
        <x:v>0.05</x:v>
      </x:c>
      <x:c r="C26" s="29" t="n">
        <x:f>B26*Controls!$B$8</x:f>
        <x:v>20</x:v>
      </x:c>
      <x:c r="D26" s="26" t="str">
        <x:v>Curricula, datasets, test artifacts and small-firm support</x:v>
      </x:c>
      <x:c r="E26" s="26" t="str">
        <x:v>Public Assurance Office</x:v>
      </x:c>
      <x:c r="F26" s="26" t="str">
        <x:v>Turns architecture into ecosystem</x:v>
      </x:c>
      <x:c r="G26" s="26" t="str"/>
      <x:c r="H26" s="26" t="str"/>
    </x:row>
    <x:row r="27">
      <x:c r="A27" s="26"/>
      <x:c r="B27" s="38"/>
      <x:c r="C27" s="29"/>
      <x:c r="D27" s="26"/>
      <x:c r="E27" s="26"/>
      <x:c r="F27" s="26"/>
      <x:c r="G27" s="26"/>
      <x:c r="H27" s="26"/>
    </x:row>
    <x:row r="28">
      <x:c r="A28" s="39" t="str">
        <x:v>TOTAL</x:v>
      </x:c>
      <x:c r="B28" s="40" t="n">
        <x:f>SUM(B21:B26)</x:f>
        <x:v>1</x:v>
      </x:c>
      <x:c r="C28" s="41" t="n">
        <x:f>SUM(C21:C26)</x:f>
        <x:v>400</x:v>
      </x:c>
      <x:c r="D28" s="39" t="str"/>
      <x:c r="E28" s="39" t="str"/>
      <x:c r="F28" s="39" t="str"/>
      <x:c r="G28" s="39" t="str"/>
      <x:c r="H28" s="39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1" hidden="0" customWidth="1"/>
    <x:col min="2" max="2" width="31" hidden="0" customWidth="1"/>
    <x:col min="3" max="3" width="31" hidden="0" customWidth="1"/>
    <x:col min="4" max="4" width="62" hidden="0" customWidth="1"/>
    <x:col min="5" max="5" width="14" hidden="0" customWidth="1"/>
    <x:col min="6" max="6" width="14" hidden="0" customWidth="1"/>
    <x:col min="7" max="7" width="20" hidden="0" customWidth="1"/>
    <x:col min="8" max="8" width="17" hidden="0" customWidth="1"/>
    <x:col min="9" max="9" width="14" hidden="0" customWidth="1"/>
    <x:col min="10" max="10" width="15" hidden="0" customWidth="1"/>
    <x:col min="11" max="11" width="40" hidden="0" customWidth="1"/>
    <x:col min="12" max="12" width="31" hidden="0" customWidth="1"/>
    <x:col min="13" max="13" width="12" hidden="0" customWidth="1"/>
    <x:col min="14" max="14" width="14" hidden="0" customWidth="1"/>
  </x:cols>
  <x:sheetData>
    <x:row r="1">
      <x:c r="A1" s="49" t="str">
        <x:v>Interface-control register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46"/>
    </x:row>
    <x:row r="2">
      <x:c r="A2" s="47" t="str">
        <x:v>Fifty Department-level boundary contracts. A contract defines exchanged state, assurance and test obligations without dictating vendor internals.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</x:row>
    <x:row r="3" ht="3" customHeight="1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</x:row>
    <x:row r="4">
      <x:c r="A4" s="26"/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</x:row>
    <x:row r="5">
      <x:c r="A5" s="25" t="str">
        <x:v>ID</x:v>
      </x:c>
      <x:c r="B5" s="25" t="str">
        <x:v>Primitive</x:v>
      </x:c>
      <x:c r="C5" s="25" t="str">
        <x:v>Interface contract</x:v>
      </x:c>
      <x:c r="D5" s="25" t="str">
        <x:v>Required content</x:v>
      </x:c>
      <x:c r="E5" s="25" t="str">
        <x:v>Modes</x:v>
      </x:c>
      <x:c r="F5" s="25" t="str">
        <x:v>Safety class</x:v>
      </x:c>
      <x:c r="G5" s="25" t="str">
        <x:v>Openness</x:v>
      </x:c>
      <x:c r="H5" s="25" t="str">
        <x:v>Current maturity</x:v>
      </x:c>
      <x:c r="I5" s="25" t="str">
        <x:v>Y5 target</x:v>
      </x:c>
      <x:c r="J5" s="25" t="str">
        <x:v>Y10 target</x:v>
      </x:c>
      <x:c r="K5" s="25" t="str">
        <x:v>Verification artifact</x:v>
      </x:c>
      <x:c r="L5" s="25" t="str">
        <x:v>Owner</x:v>
      </x:c>
      <x:c r="M5" s="25" t="str">
        <x:v>Source ID</x:v>
      </x:c>
      <x:c r="N5" s="25" t="str">
        <x:v>Status</x:v>
      </x:c>
    </x:row>
    <x:row r="6">
      <x:c r="A6" s="26" t="str">
        <x:v>OBS-01</x:v>
      </x:c>
      <x:c r="B6" s="11" t="str">
        <x:v>Observation fabric</x:v>
      </x:c>
      <x:c r="C6" s="11" t="str">
        <x:v>Authoritative observation identity</x:v>
      </x:c>
      <x:c r="D6" s="11" t="str">
        <x:v>Globally unique sensor, platform and calibration identity</x:v>
      </x:c>
      <x:c r="E6" s="11" t="str">
        <x:v>Any</x:v>
      </x:c>
      <x:c r="F6" s="11" t="n">
        <x:v>3</x:v>
      </x:c>
      <x:c r="G6" s="11" t="str">
        <x:v>Open</x:v>
      </x:c>
      <x:c r="H6" s="27" t="n">
        <x:v>1</x:v>
      </x:c>
      <x:c r="I6" s="27" t="n">
        <x:v>2</x:v>
      </x:c>
      <x:c r="J6" s="27" t="n">
        <x:v>3</x:v>
      </x:c>
      <x:c r="K6" s="11" t="str">
        <x:v>Schema and reference implementation</x:v>
      </x:c>
      <x:c r="L6" s="11" t="str">
        <x:v>Observation fabric</x:v>
      </x:c>
      <x:c r="M6" s="11" t="str">
        <x:v>S03</x:v>
      </x:c>
      <x:c r="N6" s="26" t="str">
        <x:f>IF(H6&gt;=J6,"CLOSED","OPEN")</x:f>
        <x:v>OPEN</x:v>
      </x:c>
    </x:row>
    <x:row r="7">
      <x:c r="A7" s="26" t="str">
        <x:v>OBS-02</x:v>
      </x:c>
      <x:c r="B7" s="11" t="str">
        <x:v>Observation fabric</x:v>
      </x:c>
      <x:c r="C7" s="11" t="str">
        <x:v>Time and synchronization</x:v>
      </x:c>
      <x:c r="D7" s="11" t="str">
        <x:v>Event time, receipt time, clock source, offset and uncertainty</x:v>
      </x:c>
      <x:c r="E7" s="11" t="str">
        <x:v>D0–D3</x:v>
      </x:c>
      <x:c r="F7" s="11" t="n">
        <x:v>4</x:v>
      </x:c>
      <x:c r="G7" s="11" t="str">
        <x:v>Open</x:v>
      </x:c>
      <x:c r="H7" s="27" t="n">
        <x:v>1</x:v>
      </x:c>
      <x:c r="I7" s="27" t="n">
        <x:v>2</x:v>
      </x:c>
      <x:c r="J7" s="27" t="n">
        <x:v>3</x:v>
      </x:c>
      <x:c r="K7" s="11" t="str">
        <x:v>Conformance harness and fault injection</x:v>
      </x:c>
      <x:c r="L7" s="11" t="str">
        <x:v>Observation fabric</x:v>
      </x:c>
      <x:c r="M7" s="11" t="str">
        <x:v>S02</x:v>
      </x:c>
      <x:c r="N7" s="26" t="str">
        <x:f>IF(H7&gt;=J7,"CLOSED","OPEN")</x:f>
        <x:v>OPEN</x:v>
      </x:c>
    </x:row>
    <x:row r="8">
      <x:c r="A8" s="26" t="str">
        <x:v>OBS-03</x:v>
      </x:c>
      <x:c r="B8" s="11" t="str">
        <x:v>Observation fabric</x:v>
      </x:c>
      <x:c r="C8" s="11" t="str">
        <x:v>Geospatial reference</x:v>
      </x:c>
      <x:c r="D8" s="11" t="str">
        <x:v>Coordinate system, vertical datum, resolution and location uncertainty</x:v>
      </x:c>
      <x:c r="E8" s="11" t="str">
        <x:v>D0–D3</x:v>
      </x:c>
      <x:c r="F8" s="11" t="n">
        <x:v>4</x:v>
      </x:c>
      <x:c r="G8" s="11" t="str">
        <x:v>Open</x:v>
      </x:c>
      <x:c r="H8" s="27" t="n">
        <x:v>0</x:v>
      </x:c>
      <x:c r="I8" s="27" t="n">
        <x:v>1</x:v>
      </x:c>
      <x:c r="J8" s="27" t="n">
        <x:v>3</x:v>
      </x:c>
      <x:c r="K8" s="11" t="str">
        <x:v>Representative boundary trial</x:v>
      </x:c>
      <x:c r="L8" s="11" t="str">
        <x:v>Observation fabric</x:v>
      </x:c>
      <x:c r="M8" s="11" t="str">
        <x:v>S07</x:v>
      </x:c>
      <x:c r="N8" s="26" t="str">
        <x:f>IF(H8&gt;=J8,"CLOSED","OPEN")</x:f>
        <x:v>OPEN</x:v>
      </x:c>
    </x:row>
    <x:row r="9">
      <x:c r="A9" s="26" t="str">
        <x:v>OBS-04</x:v>
      </x:c>
      <x:c r="B9" s="11" t="str">
        <x:v>Observation fabric</x:v>
      </x:c>
      <x:c r="C9" s="11" t="str">
        <x:v>Measurement and quality</x:v>
      </x:c>
      <x:c r="D9" s="11" t="str">
        <x:v>Value, unit, method, calibration, quality flags and missing state</x:v>
      </x:c>
      <x:c r="E9" s="11" t="str">
        <x:v>D0–D3</x:v>
      </x:c>
      <x:c r="F9" s="11" t="n">
        <x:v>4</x:v>
      </x:c>
      <x:c r="G9" s="11" t="str">
        <x:v>Open</x:v>
      </x:c>
      <x:c r="H9" s="27" t="n">
        <x:v>1</x:v>
      </x:c>
      <x:c r="I9" s="27" t="n">
        <x:v>1</x:v>
      </x:c>
      <x:c r="J9" s="27" t="n">
        <x:v>3</x:v>
      </x:c>
      <x:c r="K9" s="11" t="str">
        <x:v>Independent validation dataset</x:v>
      </x:c>
      <x:c r="L9" s="11" t="str">
        <x:v>Observation fabric</x:v>
      </x:c>
      <x:c r="M9" s="11" t="str">
        <x:v>S07</x:v>
      </x:c>
      <x:c r="N9" s="26" t="str">
        <x:f>IF(H9&gt;=J9,"CLOSED","OPEN")</x:f>
        <x:v>OPEN</x:v>
      </x:c>
    </x:row>
    <x:row r="10">
      <x:c r="A10" s="26" t="str">
        <x:v>OBS-05</x:v>
      </x:c>
      <x:c r="B10" s="11" t="str">
        <x:v>Observation fabric</x:v>
      </x:c>
      <x:c r="C10" s="11" t="str">
        <x:v>Provenance and chain of custody</x:v>
      </x:c>
      <x:c r="D10" s="11" t="str">
        <x:v>Origin, transformation, signer, version, access and retention</x:v>
      </x:c>
      <x:c r="E10" s="11" t="str">
        <x:v>D0–D3</x:v>
      </x:c>
      <x:c r="F10" s="11" t="n">
        <x:v>4</x:v>
      </x:c>
      <x:c r="G10" s="11" t="str">
        <x:v>Open profile</x:v>
      </x:c>
      <x:c r="H10" s="27" t="n">
        <x:v>1</x:v>
      </x:c>
      <x:c r="I10" s="27" t="n">
        <x:v>1</x:v>
      </x:c>
      <x:c r="J10" s="27" t="n">
        <x:v>3</x:v>
      </x:c>
      <x:c r="K10" s="11" t="str">
        <x:v>Complete mission-thread evidence</x:v>
      </x:c>
      <x:c r="L10" s="11" t="str">
        <x:v>Observation fabric</x:v>
      </x:c>
      <x:c r="M10" s="11" t="str">
        <x:v>S08</x:v>
      </x:c>
      <x:c r="N10" s="26" t="str">
        <x:f>IF(H10&gt;=J10,"CLOSED","OPEN")</x:f>
        <x:v>OPEN</x:v>
      </x:c>
    </x:row>
    <x:row r="11">
      <x:c r="A11" s="26" t="str">
        <x:v>TWN-01</x:v>
      </x:c>
      <x:c r="B11" s="11" t="str">
        <x:v>Causal digital twin</x:v>
      </x:c>
      <x:c r="C11" s="11" t="str">
        <x:v>Model component contract</x:v>
      </x:c>
      <x:c r="D11" s="11" t="str">
        <x:v>Inputs, outputs, units, state, spatial/temporal resolution</x:v>
      </x:c>
      <x:c r="E11" s="11" t="str">
        <x:v>D0–D2</x:v>
      </x:c>
      <x:c r="F11" s="11" t="n">
        <x:v>3</x:v>
      </x:c>
      <x:c r="G11" s="11" t="str">
        <x:v>Open</x:v>
      </x:c>
      <x:c r="H11" s="27" t="n">
        <x:v>1</x:v>
      </x:c>
      <x:c r="I11" s="27" t="n">
        <x:v>2</x:v>
      </x:c>
      <x:c r="J11" s="27" t="n">
        <x:v>3</x:v>
      </x:c>
      <x:c r="K11" s="11" t="str">
        <x:v>Schema and reference implementation</x:v>
      </x:c>
      <x:c r="L11" s="11" t="str">
        <x:v>Causal digital twin</x:v>
      </x:c>
      <x:c r="M11" s="11" t="str">
        <x:v>S07</x:v>
      </x:c>
      <x:c r="N11" s="26" t="str">
        <x:f>IF(H11&gt;=J11,"CLOSED","OPEN")</x:f>
        <x:v>OPEN</x:v>
      </x:c>
    </x:row>
    <x:row r="12">
      <x:c r="A12" s="26" t="str">
        <x:v>TWN-02</x:v>
      </x:c>
      <x:c r="B12" s="11" t="str">
        <x:v>Causal digital twin</x:v>
      </x:c>
      <x:c r="C12" s="11" t="str">
        <x:v>Uncertainty contract</x:v>
      </x:c>
      <x:c r="D12" s="11" t="str">
        <x:v>Aleatory/epistemic uncertainty, calibration domain and tail behavior</x:v>
      </x:c>
      <x:c r="E12" s="11" t="str">
        <x:v>D0–D2</x:v>
      </x:c>
      <x:c r="F12" s="11" t="n">
        <x:v>4</x:v>
      </x:c>
      <x:c r="G12" s="11" t="str">
        <x:v>Open</x:v>
      </x:c>
      <x:c r="H12" s="27" t="n">
        <x:v>1</x:v>
      </x:c>
      <x:c r="I12" s="27" t="n">
        <x:v>2</x:v>
      </x:c>
      <x:c r="J12" s="27" t="n">
        <x:v>3</x:v>
      </x:c>
      <x:c r="K12" s="11" t="str">
        <x:v>Conformance harness and fault injection</x:v>
      </x:c>
      <x:c r="L12" s="11" t="str">
        <x:v>Causal digital twin</x:v>
      </x:c>
      <x:c r="M12" s="11" t="str">
        <x:v>S05</x:v>
      </x:c>
      <x:c r="N12" s="26" t="str">
        <x:f>IF(H12&gt;=J12,"CLOSED","OPEN")</x:f>
        <x:v>OPEN</x:v>
      </x:c>
    </x:row>
    <x:row r="13">
      <x:c r="A13" s="26" t="str">
        <x:v>TWN-03</x:v>
      </x:c>
      <x:c r="B13" s="11" t="str">
        <x:v>Causal digital twin</x:v>
      </x:c>
      <x:c r="C13" s="11" t="str">
        <x:v>Intervention representation</x:v>
      </x:c>
      <x:c r="D13" s="11" t="str">
        <x:v>Action, timing, authority, resource and reversible/irreversible effects</x:v>
      </x:c>
      <x:c r="E13" s="11" t="str">
        <x:v>D0–D2</x:v>
      </x:c>
      <x:c r="F13" s="11" t="n">
        <x:v>4</x:v>
      </x:c>
      <x:c r="G13" s="11" t="str">
        <x:v>Open</x:v>
      </x:c>
      <x:c r="H13" s="27" t="n">
        <x:v>0</x:v>
      </x:c>
      <x:c r="I13" s="27" t="n">
        <x:v>1</x:v>
      </x:c>
      <x:c r="J13" s="27" t="n">
        <x:v>3</x:v>
      </x:c>
      <x:c r="K13" s="11" t="str">
        <x:v>Representative boundary trial</x:v>
      </x:c>
      <x:c r="L13" s="11" t="str">
        <x:v>Causal digital twin</x:v>
      </x:c>
      <x:c r="M13" s="11" t="str">
        <x:v>S05</x:v>
      </x:c>
      <x:c r="N13" s="26" t="str">
        <x:f>IF(H13&gt;=J13,"CLOSED","OPEN")</x:f>
        <x:v>OPEN</x:v>
      </x:c>
    </x:row>
    <x:row r="14">
      <x:c r="A14" s="26" t="str">
        <x:v>TWN-04</x:v>
      </x:c>
      <x:c r="B14" s="11" t="str">
        <x:v>Causal digital twin</x:v>
      </x:c>
      <x:c r="C14" s="11" t="str">
        <x:v>Validation envelope</x:v>
      </x:c>
      <x:c r="D14" s="11" t="str">
        <x:v>Intended use, verified range, failure modes and excluded conditions</x:v>
      </x:c>
      <x:c r="E14" s="11" t="str">
        <x:v>All</x:v>
      </x:c>
      <x:c r="F14" s="11" t="n">
        <x:v>4</x:v>
      </x:c>
      <x:c r="G14" s="11" t="str">
        <x:v>Open</x:v>
      </x:c>
      <x:c r="H14" s="27" t="n">
        <x:v>1</x:v>
      </x:c>
      <x:c r="I14" s="27" t="n">
        <x:v>1</x:v>
      </x:c>
      <x:c r="J14" s="27" t="n">
        <x:v>3</x:v>
      </x:c>
      <x:c r="K14" s="11" t="str">
        <x:v>Independent validation dataset</x:v>
      </x:c>
      <x:c r="L14" s="11" t="str">
        <x:v>Causal digital twin</x:v>
      </x:c>
      <x:c r="M14" s="11" t="str">
        <x:v>S01</x:v>
      </x:c>
      <x:c r="N14" s="26" t="str">
        <x:f>IF(H14&gt;=J14,"CLOSED","OPEN")</x:f>
        <x:v>OPEN</x:v>
      </x:c>
    </x:row>
    <x:row r="15">
      <x:c r="A15" s="26" t="str">
        <x:v>TWN-05</x:v>
      </x:c>
      <x:c r="B15" s="11" t="str">
        <x:v>Causal digital twin</x:v>
      </x:c>
      <x:c r="C15" s="11" t="str">
        <x:v>Decision trace</x:v>
      </x:c>
      <x:c r="D15" s="11" t="str">
        <x:v>Data/model/configuration versions, alternatives and accountable decision</x:v>
      </x:c>
      <x:c r="E15" s="11" t="str">
        <x:v>All</x:v>
      </x:c>
      <x:c r="F15" s="11" t="n">
        <x:v>4</x:v>
      </x:c>
      <x:c r="G15" s="11" t="str">
        <x:v>Open profile</x:v>
      </x:c>
      <x:c r="H15" s="27" t="n">
        <x:v>1</x:v>
      </x:c>
      <x:c r="I15" s="27" t="n">
        <x:v>1</x:v>
      </x:c>
      <x:c r="J15" s="27" t="n">
        <x:v>3</x:v>
      </x:c>
      <x:c r="K15" s="11" t="str">
        <x:v>Complete mission-thread evidence</x:v>
      </x:c>
      <x:c r="L15" s="11" t="str">
        <x:v>Causal digital twin</x:v>
      </x:c>
      <x:c r="M15" s="11" t="str">
        <x:v>S05</x:v>
      </x:c>
      <x:c r="N15" s="26" t="str">
        <x:f>IF(H15&gt;=J15,"CLOSED","OPEN")</x:f>
        <x:v>OPEN</x:v>
      </x:c>
    </x:row>
    <x:row r="16">
      <x:c r="A16" s="26" t="str">
        <x:v>AUT-01</x:v>
      </x:c>
      <x:c r="B16" s="11" t="str">
        <x:v>Extreme-environment autonomy</x:v>
      </x:c>
      <x:c r="C16" s="11" t="str">
        <x:v>Mission intent and task</x:v>
      </x:c>
      <x:c r="D16" s="11" t="str">
        <x:v>Objective, constraints, priority, expiry and authorized issuer</x:v>
      </x:c>
      <x:c r="E16" s="11" t="str">
        <x:v>D0–D2</x:v>
      </x:c>
      <x:c r="F16" s="11" t="n">
        <x:v>4</x:v>
      </x:c>
      <x:c r="G16" s="11" t="str">
        <x:v>Open</x:v>
      </x:c>
      <x:c r="H16" s="27" t="n">
        <x:v>1</x:v>
      </x:c>
      <x:c r="I16" s="27" t="n">
        <x:v>2</x:v>
      </x:c>
      <x:c r="J16" s="27" t="n">
        <x:v>3</x:v>
      </x:c>
      <x:c r="K16" s="11" t="str">
        <x:v>Schema and reference implementation</x:v>
      </x:c>
      <x:c r="L16" s="11" t="str">
        <x:v>Extreme-environment autonomy</x:v>
      </x:c>
      <x:c r="M16" s="11" t="str">
        <x:v>S01</x:v>
      </x:c>
      <x:c r="N16" s="26" t="str">
        <x:f>IF(H16&gt;=J16,"CLOSED","OPEN")</x:f>
        <x:v>OPEN</x:v>
      </x:c>
    </x:row>
    <x:row r="17">
      <x:c r="A17" s="26" t="str">
        <x:v>AUT-02</x:v>
      </x:c>
      <x:c r="B17" s="11" t="str">
        <x:v>Extreme-environment autonomy</x:v>
      </x:c>
      <x:c r="C17" s="11" t="str">
        <x:v>Authority and action class</x:v>
      </x:c>
      <x:c r="D17" s="11" t="str">
        <x:v>Permitted energy, flow, zone, population and approval state</x:v>
      </x:c>
      <x:c r="E17" s="11" t="str">
        <x:v>All</x:v>
      </x:c>
      <x:c r="F17" s="11" t="n">
        <x:v>5</x:v>
      </x:c>
      <x:c r="G17" s="11" t="str">
        <x:v>Open</x:v>
      </x:c>
      <x:c r="H17" s="27" t="n">
        <x:v>1</x:v>
      </x:c>
      <x:c r="I17" s="27" t="n">
        <x:v>2</x:v>
      </x:c>
      <x:c r="J17" s="27" t="n">
        <x:v>3</x:v>
      </x:c>
      <x:c r="K17" s="11" t="str">
        <x:v>Conformance harness and fault injection</x:v>
      </x:c>
      <x:c r="L17" s="11" t="str">
        <x:v>Extreme-environment autonomy</x:v>
      </x:c>
      <x:c r="M17" s="11" t="str">
        <x:v>S05</x:v>
      </x:c>
      <x:c r="N17" s="26" t="str">
        <x:f>IF(H17&gt;=J17,"CLOSED","OPEN")</x:f>
        <x:v>OPEN</x:v>
      </x:c>
    </x:row>
    <x:row r="18">
      <x:c r="A18" s="26" t="str">
        <x:v>AUT-03</x:v>
      </x:c>
      <x:c r="B18" s="11" t="str">
        <x:v>Extreme-environment autonomy</x:v>
      </x:c>
      <x:c r="C18" s="11" t="str">
        <x:v>Health and capability</x:v>
      </x:c>
      <x:c r="D18" s="11" t="str">
        <x:v>Current state, confidence, consumables, faults and safe performance envelope</x:v>
      </x:c>
      <x:c r="E18" s="11" t="str">
        <x:v>D0–D3</x:v>
      </x:c>
      <x:c r="F18" s="11" t="n">
        <x:v>4</x:v>
      </x:c>
      <x:c r="G18" s="11" t="str">
        <x:v>Open</x:v>
      </x:c>
      <x:c r="H18" s="27" t="n">
        <x:v>0</x:v>
      </x:c>
      <x:c r="I18" s="27" t="n">
        <x:v>1</x:v>
      </x:c>
      <x:c r="J18" s="27" t="n">
        <x:v>3</x:v>
      </x:c>
      <x:c r="K18" s="11" t="str">
        <x:v>Representative boundary trial</x:v>
      </x:c>
      <x:c r="L18" s="11" t="str">
        <x:v>Extreme-environment autonomy</x:v>
      </x:c>
      <x:c r="M18" s="11" t="str">
        <x:v>S09</x:v>
      </x:c>
      <x:c r="N18" s="26" t="str">
        <x:f>IF(H18&gt;=J18,"CLOSED","OPEN")</x:f>
        <x:v>OPEN</x:v>
      </x:c>
    </x:row>
    <x:row r="19">
      <x:c r="A19" s="26" t="str">
        <x:v>AUT-04</x:v>
      </x:c>
      <x:c r="B19" s="11" t="str">
        <x:v>Extreme-environment autonomy</x:v>
      </x:c>
      <x:c r="C19" s="11" t="str">
        <x:v>Safe state and link loss</x:v>
      </x:c>
      <x:c r="D19" s="11" t="str">
        <x:v>Deterministic stop, hold, return, isolate or local continuation behavior</x:v>
      </x:c>
      <x:c r="E19" s="11" t="str">
        <x:v>D1–D3</x:v>
      </x:c>
      <x:c r="F19" s="11" t="n">
        <x:v>5</x:v>
      </x:c>
      <x:c r="G19" s="11" t="str">
        <x:v>Open</x:v>
      </x:c>
      <x:c r="H19" s="27" t="n">
        <x:v>1</x:v>
      </x:c>
      <x:c r="I19" s="27" t="n">
        <x:v>1</x:v>
      </x:c>
      <x:c r="J19" s="27" t="n">
        <x:v>3</x:v>
      </x:c>
      <x:c r="K19" s="11" t="str">
        <x:v>Independent validation dataset</x:v>
      </x:c>
      <x:c r="L19" s="11" t="str">
        <x:v>Extreme-environment autonomy</x:v>
      </x:c>
      <x:c r="M19" s="11" t="str">
        <x:v>S06</x:v>
      </x:c>
      <x:c r="N19" s="26" t="str">
        <x:f>IF(H19&gt;=J19,"CLOSED","OPEN")</x:f>
        <x:v>OPEN</x:v>
      </x:c>
    </x:row>
    <x:row r="20">
      <x:c r="A20" s="26" t="str">
        <x:v>AUT-05</x:v>
      </x:c>
      <x:c r="B20" s="11" t="str">
        <x:v>Extreme-environment autonomy</x:v>
      </x:c>
      <x:c r="C20" s="11" t="str">
        <x:v>Operator proficiency and takeover</x:v>
      </x:c>
      <x:c r="D20" s="11" t="str">
        <x:v>Qualification, interface, alert, takeover time and manual control</x:v>
      </x:c>
      <x:c r="E20" s="11" t="str">
        <x:v>D0–D3</x:v>
      </x:c>
      <x:c r="F20" s="11" t="n">
        <x:v>5</x:v>
      </x:c>
      <x:c r="G20" s="11" t="str">
        <x:v>Open</x:v>
      </x:c>
      <x:c r="H20" s="27" t="n">
        <x:v>1</x:v>
      </x:c>
      <x:c r="I20" s="27" t="n">
        <x:v>1</x:v>
      </x:c>
      <x:c r="J20" s="27" t="n">
        <x:v>3</x:v>
      </x:c>
      <x:c r="K20" s="11" t="str">
        <x:v>Complete mission-thread evidence</x:v>
      </x:c>
      <x:c r="L20" s="11" t="str">
        <x:v>Extreme-environment autonomy</x:v>
      </x:c>
      <x:c r="M20" s="11" t="str">
        <x:v>S09</x:v>
      </x:c>
      <x:c r="N20" s="26" t="str">
        <x:f>IF(H20&gt;=J20,"CLOSED","OPEN")</x:f>
        <x:v>OPEN</x:v>
      </x:c>
    </x:row>
    <x:row r="21">
      <x:c r="A21" s="26" t="str">
        <x:v>UFX-01</x:v>
      </x:c>
      <x:c r="B21" s="11" t="str">
        <x:v>Mobile power/fluid/thermal bus</x:v>
      </x:c>
      <x:c r="C21" s="11" t="str">
        <x:v>Utility identity and media class</x:v>
      </x:c>
      <x:c r="D21" s="11" t="str">
        <x:v>Energy/fluid identity, quality, hazards and compatible service</x:v>
      </x:c>
      <x:c r="E21" s="11" t="str">
        <x:v>All</x:v>
      </x:c>
      <x:c r="F21" s="11" t="n">
        <x:v>5</x:v>
      </x:c>
      <x:c r="G21" s="11" t="str">
        <x:v>Open</x:v>
      </x:c>
      <x:c r="H21" s="27" t="n">
        <x:v>1</x:v>
      </x:c>
      <x:c r="I21" s="27" t="n">
        <x:v>2</x:v>
      </x:c>
      <x:c r="J21" s="27" t="n">
        <x:v>3</x:v>
      </x:c>
      <x:c r="K21" s="11" t="str">
        <x:v>Schema and reference implementation</x:v>
      </x:c>
      <x:c r="L21" s="11" t="str">
        <x:v>Mobile power/fluid/thermal bus</x:v>
      </x:c>
      <x:c r="M21" s="11" t="str">
        <x:v>S03</x:v>
      </x:c>
      <x:c r="N21" s="26" t="str">
        <x:f>IF(H21&gt;=J21,"CLOSED","OPEN")</x:f>
        <x:v>OPEN</x:v>
      </x:c>
    </x:row>
    <x:row r="22">
      <x:c r="A22" s="26" t="str">
        <x:v>UFX-02</x:v>
      </x:c>
      <x:c r="B22" s="11" t="str">
        <x:v>Mobile power/fluid/thermal bus</x:v>
      </x:c>
      <x:c r="C22" s="11" t="str">
        <x:v>Connection and isolation</x:v>
      </x:c>
      <x:c r="D22" s="11" t="str">
        <x:v>Mechanical keying, breakaway, valve/switch state and lockout</x:v>
      </x:c>
      <x:c r="E22" s="11" t="str">
        <x:v>All</x:v>
      </x:c>
      <x:c r="F22" s="11" t="n">
        <x:v>5</x:v>
      </x:c>
      <x:c r="G22" s="11" t="str">
        <x:v>Open profile</x:v>
      </x:c>
      <x:c r="H22" s="27" t="n">
        <x:v>1</x:v>
      </x:c>
      <x:c r="I22" s="27" t="n">
        <x:v>2</x:v>
      </x:c>
      <x:c r="J22" s="27" t="n">
        <x:v>3</x:v>
      </x:c>
      <x:c r="K22" s="11" t="str">
        <x:v>Conformance harness and fault injection</x:v>
      </x:c>
      <x:c r="L22" s="11" t="str">
        <x:v>Mobile power/fluid/thermal bus</x:v>
      </x:c>
      <x:c r="M22" s="11" t="str">
        <x:v>S03</x:v>
      </x:c>
      <x:c r="N22" s="26" t="str">
        <x:f>IF(H22&gt;=J22,"CLOSED","OPEN")</x:f>
        <x:v>OPEN</x:v>
      </x:c>
    </x:row>
    <x:row r="23">
      <x:c r="A23" s="26" t="str">
        <x:v>UFX-03</x:v>
      </x:c>
      <x:c r="B23" s="11" t="str">
        <x:v>Mobile power/fluid/thermal bus</x:v>
      </x:c>
      <x:c r="C23" s="11" t="str">
        <x:v>Protection and safe energization</x:v>
      </x:c>
      <x:c r="D23" s="11" t="str">
        <x:v>Fault duty, grounding/bonding, pressure relief and permissives</x:v>
      </x:c>
      <x:c r="E23" s="11" t="str">
        <x:v>All</x:v>
      </x:c>
      <x:c r="F23" s="11" t="n">
        <x:v>5</x:v>
      </x:c>
      <x:c r="G23" s="11" t="str">
        <x:v>Open profile</x:v>
      </x:c>
      <x:c r="H23" s="27" t="n">
        <x:v>0</x:v>
      </x:c>
      <x:c r="I23" s="27" t="n">
        <x:v>1</x:v>
      </x:c>
      <x:c r="J23" s="27" t="n">
        <x:v>3</x:v>
      </x:c>
      <x:c r="K23" s="11" t="str">
        <x:v>Representative boundary trial</x:v>
      </x:c>
      <x:c r="L23" s="11" t="str">
        <x:v>Mobile power/fluid/thermal bus</x:v>
      </x:c>
      <x:c r="M23" s="11" t="str">
        <x:v>S03</x:v>
      </x:c>
      <x:c r="N23" s="26" t="str">
        <x:f>IF(H23&gt;=J23,"CLOSED","OPEN")</x:f>
        <x:v>OPEN</x:v>
      </x:c>
    </x:row>
    <x:row r="24">
      <x:c r="A24" s="26" t="str">
        <x:v>UFX-04</x:v>
      </x:c>
      <x:c r="B24" s="11" t="str">
        <x:v>Mobile power/fluid/thermal bus</x:v>
      </x:c>
      <x:c r="C24" s="11" t="str">
        <x:v>Metering and quality</x:v>
      </x:c>
      <x:c r="D24" s="11" t="str">
        <x:v>Power/flow/pressure/temperature/quality at custody boundary</x:v>
      </x:c>
      <x:c r="E24" s="11" t="str">
        <x:v>D0–D3</x:v>
      </x:c>
      <x:c r="F24" s="11" t="n">
        <x:v>4</x:v>
      </x:c>
      <x:c r="G24" s="11" t="str">
        <x:v>Open</x:v>
      </x:c>
      <x:c r="H24" s="27" t="n">
        <x:v>1</x:v>
      </x:c>
      <x:c r="I24" s="27" t="n">
        <x:v>1</x:v>
      </x:c>
      <x:c r="J24" s="27" t="n">
        <x:v>3</x:v>
      </x:c>
      <x:c r="K24" s="11" t="str">
        <x:v>Independent validation dataset</x:v>
      </x:c>
      <x:c r="L24" s="11" t="str">
        <x:v>Mobile power/fluid/thermal bus</x:v>
      </x:c>
      <x:c r="M24" s="11" t="str">
        <x:v>S03</x:v>
      </x:c>
      <x:c r="N24" s="26" t="str">
        <x:f>IF(H24&gt;=J24,"CLOSED","OPEN")</x:f>
        <x:v>OPEN</x:v>
      </x:c>
    </x:row>
    <x:row r="25">
      <x:c r="A25" s="26" t="str">
        <x:v>UFX-05</x:v>
      </x:c>
      <x:c r="B25" s="11" t="str">
        <x:v>Mobile power/fluid/thermal bus</x:v>
      </x:c>
      <x:c r="C25" s="11" t="str">
        <x:v>Black start, drain-down and transfer</x:v>
      </x:c>
      <x:c r="D25" s="11" t="str">
        <x:v>Cold start, island/rejoin, purge, decontaminate and handoff</x:v>
      </x:c>
      <x:c r="E25" s="11" t="str">
        <x:v>D1–D3</x:v>
      </x:c>
      <x:c r="F25" s="11" t="n">
        <x:v>5</x:v>
      </x:c>
      <x:c r="G25" s="11" t="str">
        <x:v>Open profile</x:v>
      </x:c>
      <x:c r="H25" s="27" t="n">
        <x:v>1</x:v>
      </x:c>
      <x:c r="I25" s="27" t="n">
        <x:v>1</x:v>
      </x:c>
      <x:c r="J25" s="27" t="n">
        <x:v>3</x:v>
      </x:c>
      <x:c r="K25" s="11" t="str">
        <x:v>Complete mission-thread evidence</x:v>
      </x:c>
      <x:c r="L25" s="11" t="str">
        <x:v>Mobile power/fluid/thermal bus</x:v>
      </x:c>
      <x:c r="M25" s="11" t="str">
        <x:v>S11</x:v>
      </x:c>
      <x:c r="N25" s="26" t="str">
        <x:f>IF(H25&gt;=J25,"CLOSED","OPEN")</x:f>
        <x:v>OPEN</x:v>
      </x:c>
    </x:row>
    <x:row r="26">
      <x:c r="A26" s="26" t="str">
        <x:v>SEP-01</x:v>
      </x:c>
      <x:c r="B26" s="11" t="str">
        <x:v>Advanced separations</x:v>
      </x:c>
      <x:c r="C26" s="11" t="str">
        <x:v>Feed characterization</x:v>
      </x:c>
      <x:c r="D26" s="11" t="str">
        <x:v>Source identity, analytes, uncertainty, fouling and biological state</x:v>
      </x:c>
      <x:c r="E26" s="11" t="str">
        <x:v>D0–D2</x:v>
      </x:c>
      <x:c r="F26" s="11" t="n">
        <x:v>5</x:v>
      </x:c>
      <x:c r="G26" s="11" t="str">
        <x:v>Open</x:v>
      </x:c>
      <x:c r="H26" s="27" t="n">
        <x:v>1</x:v>
      </x:c>
      <x:c r="I26" s="27" t="n">
        <x:v>2</x:v>
      </x:c>
      <x:c r="J26" s="27" t="n">
        <x:v>3</x:v>
      </x:c>
      <x:c r="K26" s="11" t="str">
        <x:v>Schema and reference implementation</x:v>
      </x:c>
      <x:c r="L26" s="11" t="str">
        <x:v>Advanced separations</x:v>
      </x:c>
      <x:c r="M26" s="11" t="str">
        <x:v>S07</x:v>
      </x:c>
      <x:c r="N26" s="26" t="str">
        <x:f>IF(H26&gt;=J26,"CLOSED","OPEN")</x:f>
        <x:v>OPEN</x:v>
      </x:c>
    </x:row>
    <x:row r="27">
      <x:c r="A27" s="26" t="str">
        <x:v>SEP-02</x:v>
      </x:c>
      <x:c r="B27" s="11" t="str">
        <x:v>Advanced separations</x:v>
      </x:c>
      <x:c r="C27" s="11" t="str">
        <x:v>Cartridge/process module</x:v>
      </x:c>
      <x:c r="D27" s="11" t="str">
        <x:v>Physical key, materials, rated envelope and control contract</x:v>
      </x:c>
      <x:c r="E27" s="11" t="str">
        <x:v>D0–D3</x:v>
      </x:c>
      <x:c r="F27" s="11" t="n">
        <x:v>5</x:v>
      </x:c>
      <x:c r="G27" s="11" t="str">
        <x:v>Open profile</x:v>
      </x:c>
      <x:c r="H27" s="27" t="n">
        <x:v>1</x:v>
      </x:c>
      <x:c r="I27" s="27" t="n">
        <x:v>2</x:v>
      </x:c>
      <x:c r="J27" s="27" t="n">
        <x:v>3</x:v>
      </x:c>
      <x:c r="K27" s="11" t="str">
        <x:v>Conformance harness and fault injection</x:v>
      </x:c>
      <x:c r="L27" s="11" t="str">
        <x:v>Advanced separations</x:v>
      </x:c>
      <x:c r="M27" s="11" t="str">
        <x:v>S01</x:v>
      </x:c>
      <x:c r="N27" s="26" t="str">
        <x:f>IF(H27&gt;=J27,"CLOSED","OPEN")</x:f>
        <x:v>OPEN</x:v>
      </x:c>
    </x:row>
    <x:row r="28">
      <x:c r="A28" s="26" t="str">
        <x:v>SEP-03</x:v>
      </x:c>
      <x:c r="B28" s="11" t="str">
        <x:v>Advanced separations</x:v>
      </x:c>
      <x:c r="C28" s="11" t="str">
        <x:v>Product-quality release</x:v>
      </x:c>
      <x:c r="D28" s="11" t="str">
        <x:v>Continuous measurements, sampling, release authority and hold state</x:v>
      </x:c>
      <x:c r="E28" s="11" t="str">
        <x:v>All</x:v>
      </x:c>
      <x:c r="F28" s="11" t="n">
        <x:v>5</x:v>
      </x:c>
      <x:c r="G28" s="11" t="str">
        <x:v>Regulated/open profile</x:v>
      </x:c>
      <x:c r="H28" s="27" t="n">
        <x:v>0</x:v>
      </x:c>
      <x:c r="I28" s="27" t="n">
        <x:v>1</x:v>
      </x:c>
      <x:c r="J28" s="27" t="n">
        <x:v>3</x:v>
      </x:c>
      <x:c r="K28" s="11" t="str">
        <x:v>Representative boundary trial</x:v>
      </x:c>
      <x:c r="L28" s="11" t="str">
        <x:v>Advanced separations</x:v>
      </x:c>
      <x:c r="M28" s="11" t="str">
        <x:v>S06</x:v>
      </x:c>
      <x:c r="N28" s="26" t="str">
        <x:f>IF(H28&gt;=J28,"CLOSED","OPEN")</x:f>
        <x:v>OPEN</x:v>
      </x:c>
    </x:row>
    <x:row r="29">
      <x:c r="A29" s="26" t="str">
        <x:v>SEP-04</x:v>
      </x:c>
      <x:c r="B29" s="11" t="str">
        <x:v>Advanced separations</x:v>
      </x:c>
      <x:c r="C29" s="11" t="str">
        <x:v>Residual mass balance</x:v>
      </x:c>
      <x:c r="D29" s="11" t="str">
        <x:v>Concentrate, media, emissions, recovery and lawful disposition</x:v>
      </x:c>
      <x:c r="E29" s="11" t="str">
        <x:v>All</x:v>
      </x:c>
      <x:c r="F29" s="11" t="n">
        <x:v>5</x:v>
      </x:c>
      <x:c r="G29" s="11" t="str">
        <x:v>Open</x:v>
      </x:c>
      <x:c r="H29" s="27" t="n">
        <x:v>1</x:v>
      </x:c>
      <x:c r="I29" s="27" t="n">
        <x:v>1</x:v>
      </x:c>
      <x:c r="J29" s="27" t="n">
        <x:v>3</x:v>
      </x:c>
      <x:c r="K29" s="11" t="str">
        <x:v>Independent validation dataset</x:v>
      </x:c>
      <x:c r="L29" s="11" t="str">
        <x:v>Advanced separations</x:v>
      </x:c>
      <x:c r="M29" s="11" t="str">
        <x:v>S07</x:v>
      </x:c>
      <x:c r="N29" s="26" t="str">
        <x:f>IF(H29&gt;=J29,"CLOSED","OPEN")</x:f>
        <x:v>OPEN</x:v>
      </x:c>
    </x:row>
    <x:row r="30">
      <x:c r="A30" s="26" t="str">
        <x:v>SEP-05</x:v>
      </x:c>
      <x:c r="B30" s="11" t="str">
        <x:v>Advanced separations</x:v>
      </x:c>
      <x:c r="C30" s="11" t="str">
        <x:v>Sanitize and product switch</x:v>
      </x:c>
      <x:c r="D30" s="11" t="str">
        <x:v>Cleaning, validation, cross-contamination and restart criteria</x:v>
      </x:c>
      <x:c r="E30" s="11" t="str">
        <x:v>All</x:v>
      </x:c>
      <x:c r="F30" s="11" t="n">
        <x:v>5</x:v>
      </x:c>
      <x:c r="G30" s="11" t="str">
        <x:v>Regulated/open profile</x:v>
      </x:c>
      <x:c r="H30" s="27" t="n">
        <x:v>1</x:v>
      </x:c>
      <x:c r="I30" s="27" t="n">
        <x:v>1</x:v>
      </x:c>
      <x:c r="J30" s="27" t="n">
        <x:v>3</x:v>
      </x:c>
      <x:c r="K30" s="11" t="str">
        <x:v>Complete mission-thread evidence</x:v>
      </x:c>
      <x:c r="L30" s="11" t="str">
        <x:v>Advanced separations</x:v>
      </x:c>
      <x:c r="M30" s="11" t="str">
        <x:v>S06</x:v>
      </x:c>
      <x:c r="N30" s="26" t="str">
        <x:f>IF(H30&gt;=J30,"CLOSED","OPEN")</x:f>
        <x:v>OPEN</x:v>
      </x:c>
    </x:row>
    <x:row r="31">
      <x:c r="A31" s="26" t="str">
        <x:v>FAB-01</x:v>
      </x:c>
      <x:c r="B31" s="11" t="str">
        <x:v>Rapid infrastructure fabrication</x:v>
      </x:c>
      <x:c r="C31" s="11" t="str">
        <x:v>Digital design package</x:v>
      </x:c>
      <x:c r="D31" s="11" t="str">
        <x:v>Geometry, load case, material, process, inspection and version</x:v>
      </x:c>
      <x:c r="E31" s="11" t="str">
        <x:v>D0–D2</x:v>
      </x:c>
      <x:c r="F31" s="11" t="n">
        <x:v>4</x:v>
      </x:c>
      <x:c r="G31" s="11" t="str">
        <x:v>Open exchange</x:v>
      </x:c>
      <x:c r="H31" s="27" t="n">
        <x:v>1</x:v>
      </x:c>
      <x:c r="I31" s="27" t="n">
        <x:v>2</x:v>
      </x:c>
      <x:c r="J31" s="27" t="n">
        <x:v>3</x:v>
      </x:c>
      <x:c r="K31" s="11" t="str">
        <x:v>Schema and reference implementation</x:v>
      </x:c>
      <x:c r="L31" s="11" t="str">
        <x:v>Rapid infrastructure fabrication</x:v>
      </x:c>
      <x:c r="M31" s="11" t="str">
        <x:v>S08</x:v>
      </x:c>
      <x:c r="N31" s="26" t="str">
        <x:f>IF(H31&gt;=J31,"CLOSED","OPEN")</x:f>
        <x:v>OPEN</x:v>
      </x:c>
    </x:row>
    <x:row r="32">
      <x:c r="A32" s="26" t="str">
        <x:v>FAB-02</x:v>
      </x:c>
      <x:c r="B32" s="11" t="str">
        <x:v>Rapid infrastructure fabrication</x:v>
      </x:c>
      <x:c r="C32" s="11" t="str">
        <x:v>Site and foundation state</x:v>
      </x:c>
      <x:c r="D32" s="11" t="str">
        <x:v>Survey, ground/water condition, exclusions and preparation</x:v>
      </x:c>
      <x:c r="E32" s="11" t="str">
        <x:v>D0–D2</x:v>
      </x:c>
      <x:c r="F32" s="11" t="n">
        <x:v>5</x:v>
      </x:c>
      <x:c r="G32" s="11" t="str">
        <x:v>Open</x:v>
      </x:c>
      <x:c r="H32" s="27" t="n">
        <x:v>1</x:v>
      </x:c>
      <x:c r="I32" s="27" t="n">
        <x:v>2</x:v>
      </x:c>
      <x:c r="J32" s="27" t="n">
        <x:v>3</x:v>
      </x:c>
      <x:c r="K32" s="11" t="str">
        <x:v>Conformance harness and fault injection</x:v>
      </x:c>
      <x:c r="L32" s="11" t="str">
        <x:v>Rapid infrastructure fabrication</x:v>
      </x:c>
      <x:c r="M32" s="11" t="str">
        <x:v>S02</x:v>
      </x:c>
      <x:c r="N32" s="26" t="str">
        <x:f>IF(H32&gt;=J32,"CLOSED","OPEN")</x:f>
        <x:v>OPEN</x:v>
      </x:c>
    </x:row>
    <x:row r="33">
      <x:c r="A33" s="26" t="str">
        <x:v>FAB-03</x:v>
      </x:c>
      <x:c r="B33" s="11" t="str">
        <x:v>Rapid infrastructure fabrication</x:v>
      </x:c>
      <x:c r="C33" s="11" t="str">
        <x:v>Material and process qualification</x:v>
      </x:c>
      <x:c r="D33" s="11" t="str">
        <x:v>Batch, machine, operator, environment and approved window</x:v>
      </x:c>
      <x:c r="E33" s="11" t="str">
        <x:v>All</x:v>
      </x:c>
      <x:c r="F33" s="11" t="n">
        <x:v>5</x:v>
      </x:c>
      <x:c r="G33" s="11" t="str">
        <x:v>Open profile</x:v>
      </x:c>
      <x:c r="H33" s="27" t="n">
        <x:v>0</x:v>
      </x:c>
      <x:c r="I33" s="27" t="n">
        <x:v>1</x:v>
      </x:c>
      <x:c r="J33" s="27" t="n">
        <x:v>3</x:v>
      </x:c>
      <x:c r="K33" s="11" t="str">
        <x:v>Representative boundary trial</x:v>
      </x:c>
      <x:c r="L33" s="11" t="str">
        <x:v>Rapid infrastructure fabrication</x:v>
      </x:c>
      <x:c r="M33" s="11" t="str">
        <x:v>S08</x:v>
      </x:c>
      <x:c r="N33" s="26" t="str">
        <x:f>IF(H33&gt;=J33,"CLOSED","OPEN")</x:f>
        <x:v>OPEN</x:v>
      </x:c>
    </x:row>
    <x:row r="34">
      <x:c r="A34" s="26" t="str">
        <x:v>FAB-04</x:v>
      </x:c>
      <x:c r="B34" s="11" t="str">
        <x:v>Rapid infrastructure fabrication</x:v>
      </x:c>
      <x:c r="C34" s="11" t="str">
        <x:v>Installation and acceptance</x:v>
      </x:c>
      <x:c r="D34" s="11" t="str">
        <x:v>Sequence, instrumentation, proof load, inspection and owner</x:v>
      </x:c>
      <x:c r="E34" s="11" t="str">
        <x:v>All</x:v>
      </x:c>
      <x:c r="F34" s="11" t="n">
        <x:v>5</x:v>
      </x:c>
      <x:c r="G34" s="11" t="str">
        <x:v>Open profile</x:v>
      </x:c>
      <x:c r="H34" s="27" t="n">
        <x:v>1</x:v>
      </x:c>
      <x:c r="I34" s="27" t="n">
        <x:v>1</x:v>
      </x:c>
      <x:c r="J34" s="27" t="n">
        <x:v>3</x:v>
      </x:c>
      <x:c r="K34" s="11" t="str">
        <x:v>Independent validation dataset</x:v>
      </x:c>
      <x:c r="L34" s="11" t="str">
        <x:v>Rapid infrastructure fabrication</x:v>
      </x:c>
      <x:c r="M34" s="11" t="str">
        <x:v>S02</x:v>
      </x:c>
      <x:c r="N34" s="26" t="str">
        <x:f>IF(H34&gt;=J34,"CLOSED","OPEN")</x:f>
        <x:v>OPEN</x:v>
      </x:c>
    </x:row>
    <x:row r="35">
      <x:c r="A35" s="26" t="str">
        <x:v>FAB-05</x:v>
      </x:c>
      <x:c r="B35" s="11" t="str">
        <x:v>Rapid infrastructure fabrication</x:v>
      </x:c>
      <x:c r="C35" s="11" t="str">
        <x:v>Removal, reuse and site restoration</x:v>
      </x:c>
      <x:c r="D35" s="11" t="str">
        <x:v>De-energize, recover, inspect, certify and restore</x:v>
      </x:c>
      <x:c r="E35" s="11" t="str">
        <x:v>All</x:v>
      </x:c>
      <x:c r="F35" s="11" t="n">
        <x:v>4</x:v>
      </x:c>
      <x:c r="G35" s="11" t="str">
        <x:v>Open</x:v>
      </x:c>
      <x:c r="H35" s="27" t="n">
        <x:v>1</x:v>
      </x:c>
      <x:c r="I35" s="27" t="n">
        <x:v>1</x:v>
      </x:c>
      <x:c r="J35" s="27" t="n">
        <x:v>3</x:v>
      </x:c>
      <x:c r="K35" s="11" t="str">
        <x:v>Complete mission-thread evidence</x:v>
      </x:c>
      <x:c r="L35" s="11" t="str">
        <x:v>Rapid infrastructure fabrication</x:v>
      </x:c>
      <x:c r="M35" s="11" t="str">
        <x:v>S02</x:v>
      </x:c>
      <x:c r="N35" s="26" t="str">
        <x:f>IF(H35&gt;=J35,"CLOSED","OPEN")</x:f>
        <x:v>OPEN</x:v>
      </x:c>
    </x:row>
    <x:row r="36">
      <x:c r="A36" s="26" t="str">
        <x:v>MAT-01</x:v>
      </x:c>
      <x:c r="B36" s="11" t="str">
        <x:v>Adaptive structures/materials</x:v>
      </x:c>
      <x:c r="C36" s="11" t="str">
        <x:v>Material identity and state</x:v>
      </x:c>
      <x:c r="D36" s="11" t="str">
        <x:v>Composition, batch, age, exposures, damage and uncertainty</x:v>
      </x:c>
      <x:c r="E36" s="11" t="str">
        <x:v>D0–D3</x:v>
      </x:c>
      <x:c r="F36" s="11" t="n">
        <x:v>4</x:v>
      </x:c>
      <x:c r="G36" s="11" t="str">
        <x:v>Open exchange</x:v>
      </x:c>
      <x:c r="H36" s="27" t="n">
        <x:v>1</x:v>
      </x:c>
      <x:c r="I36" s="27" t="n">
        <x:v>2</x:v>
      </x:c>
      <x:c r="J36" s="27" t="n">
        <x:v>3</x:v>
      </x:c>
      <x:c r="K36" s="11" t="str">
        <x:v>Schema and reference implementation</x:v>
      </x:c>
      <x:c r="L36" s="11" t="str">
        <x:v>Adaptive structures/materials</x:v>
      </x:c>
      <x:c r="M36" s="11" t="str">
        <x:v>S08</x:v>
      </x:c>
      <x:c r="N36" s="26" t="str">
        <x:f>IF(H36&gt;=J36,"CLOSED","OPEN")</x:f>
        <x:v>OPEN</x:v>
      </x:c>
    </x:row>
    <x:row r="37">
      <x:c r="A37" s="26" t="str">
        <x:v>MAT-02</x:v>
      </x:c>
      <x:c r="B37" s="11" t="str">
        <x:v>Adaptive structures/materials</x:v>
      </x:c>
      <x:c r="C37" s="11" t="str">
        <x:v>Health-sensing semantics</x:v>
      </x:c>
      <x:c r="D37" s="11" t="str">
        <x:v>Sensor placement, measurand, baseline, threshold and false state</x:v>
      </x:c>
      <x:c r="E37" s="11" t="str">
        <x:v>D0–D3</x:v>
      </x:c>
      <x:c r="F37" s="11" t="n">
        <x:v>5</x:v>
      </x:c>
      <x:c r="G37" s="11" t="str">
        <x:v>Open profile</x:v>
      </x:c>
      <x:c r="H37" s="27" t="n">
        <x:v>1</x:v>
      </x:c>
      <x:c r="I37" s="27" t="n">
        <x:v>2</x:v>
      </x:c>
      <x:c r="J37" s="27" t="n">
        <x:v>3</x:v>
      </x:c>
      <x:c r="K37" s="11" t="str">
        <x:v>Conformance harness and fault injection</x:v>
      </x:c>
      <x:c r="L37" s="11" t="str">
        <x:v>Adaptive structures/materials</x:v>
      </x:c>
      <x:c r="M37" s="11" t="str">
        <x:v>S07</x:v>
      </x:c>
      <x:c r="N37" s="26" t="str">
        <x:f>IF(H37&gt;=J37,"CLOSED","OPEN")</x:f>
        <x:v>OPEN</x:v>
      </x:c>
    </x:row>
    <x:row r="38">
      <x:c r="A38" s="26" t="str">
        <x:v>MAT-03</x:v>
      </x:c>
      <x:c r="B38" s="11" t="str">
        <x:v>Adaptive structures/materials</x:v>
      </x:c>
      <x:c r="C38" s="11" t="str">
        <x:v>Sacrificial/fuse behavior</x:v>
      </x:c>
      <x:c r="D38" s="11" t="str">
        <x:v>Trigger, load path, visible state, isolation and replacement</x:v>
      </x:c>
      <x:c r="E38" s="11" t="str">
        <x:v>All</x:v>
      </x:c>
      <x:c r="F38" s="11" t="n">
        <x:v>5</x:v>
      </x:c>
      <x:c r="G38" s="11" t="str">
        <x:v>Open profile</x:v>
      </x:c>
      <x:c r="H38" s="27" t="n">
        <x:v>0</x:v>
      </x:c>
      <x:c r="I38" s="27" t="n">
        <x:v>1</x:v>
      </x:c>
      <x:c r="J38" s="27" t="n">
        <x:v>3</x:v>
      </x:c>
      <x:c r="K38" s="11" t="str">
        <x:v>Representative boundary trial</x:v>
      </x:c>
      <x:c r="L38" s="11" t="str">
        <x:v>Adaptive structures/materials</x:v>
      </x:c>
      <x:c r="M38" s="11" t="str">
        <x:v>S02</x:v>
      </x:c>
      <x:c r="N38" s="26" t="str">
        <x:f>IF(H38&gt;=J38,"CLOSED","OPEN")</x:f>
        <x:v>OPEN</x:v>
      </x:c>
    </x:row>
    <x:row r="39">
      <x:c r="A39" s="26" t="str">
        <x:v>MAT-04</x:v>
      </x:c>
      <x:c r="B39" s="11" t="str">
        <x:v>Adaptive structures/materials</x:v>
      </x:c>
      <x:c r="C39" s="11" t="str">
        <x:v>Repair and recertification</x:v>
      </x:c>
      <x:c r="D39" s="11" t="str">
        <x:v>Allowed repair, material, process, inspection and new limit</x:v>
      </x:c>
      <x:c r="E39" s="11" t="str">
        <x:v>All</x:v>
      </x:c>
      <x:c r="F39" s="11" t="n">
        <x:v>5</x:v>
      </x:c>
      <x:c r="G39" s="11" t="str">
        <x:v>Open profile</x:v>
      </x:c>
      <x:c r="H39" s="27" t="n">
        <x:v>1</x:v>
      </x:c>
      <x:c r="I39" s="27" t="n">
        <x:v>1</x:v>
      </x:c>
      <x:c r="J39" s="27" t="n">
        <x:v>3</x:v>
      </x:c>
      <x:c r="K39" s="11" t="str">
        <x:v>Independent validation dataset</x:v>
      </x:c>
      <x:c r="L39" s="11" t="str">
        <x:v>Adaptive structures/materials</x:v>
      </x:c>
      <x:c r="M39" s="11" t="str">
        <x:v>S08</x:v>
      </x:c>
      <x:c r="N39" s="26" t="str">
        <x:f>IF(H39&gt;=J39,"CLOSED","OPEN")</x:f>
        <x:v>OPEN</x:v>
      </x:c>
    </x:row>
    <x:row r="40">
      <x:c r="A40" s="26" t="str">
        <x:v>MAT-05</x:v>
      </x:c>
      <x:c r="B40" s="11" t="str">
        <x:v>Adaptive structures/materials</x:v>
      </x:c>
      <x:c r="C40" s="11" t="str">
        <x:v>End-of-life state</x:v>
      </x:c>
      <x:c r="D40" s="11" t="str">
        <x:v>Hazards, disassembly, recovery and disposal evidence</x:v>
      </x:c>
      <x:c r="E40" s="11" t="str">
        <x:v>All</x:v>
      </x:c>
      <x:c r="F40" s="11" t="n">
        <x:v>4</x:v>
      </x:c>
      <x:c r="G40" s="11" t="str">
        <x:v>Open</x:v>
      </x:c>
      <x:c r="H40" s="27" t="n">
        <x:v>1</x:v>
      </x:c>
      <x:c r="I40" s="27" t="n">
        <x:v>1</x:v>
      </x:c>
      <x:c r="J40" s="27" t="n">
        <x:v>3</x:v>
      </x:c>
      <x:c r="K40" s="11" t="str">
        <x:v>Complete mission-thread evidence</x:v>
      </x:c>
      <x:c r="L40" s="11" t="str">
        <x:v>Adaptive structures/materials</x:v>
      </x:c>
      <x:c r="M40" s="11" t="str">
        <x:v>S08</x:v>
      </x:c>
      <x:c r="N40" s="26" t="str">
        <x:f>IF(H40&gt;=J40,"CLOSED","OPEN")</x:f>
        <x:v>OPEN</x:v>
      </x:c>
    </x:row>
    <x:row r="41">
      <x:c r="A41" s="26" t="str">
        <x:v>BIO-01</x:v>
      </x:c>
      <x:c r="B41" s="11" t="str">
        <x:v>Distributed biomanufacturing</x:v>
      </x:c>
      <x:c r="C41" s="11" t="str">
        <x:v>Recipe and product identity</x:v>
      </x:c>
      <x:c r="D41" s="11" t="str">
        <x:v>Signed recipe, inputs, equipment, version and regulatory state</x:v>
      </x:c>
      <x:c r="E41" s="11" t="str">
        <x:v>D0–D2</x:v>
      </x:c>
      <x:c r="F41" s="11" t="n">
        <x:v>5</x:v>
      </x:c>
      <x:c r="G41" s="11" t="str">
        <x:v>Regulated profile</x:v>
      </x:c>
      <x:c r="H41" s="27" t="n">
        <x:v>1</x:v>
      </x:c>
      <x:c r="I41" s="27" t="n">
        <x:v>2</x:v>
      </x:c>
      <x:c r="J41" s="27" t="n">
        <x:v>3</x:v>
      </x:c>
      <x:c r="K41" s="11" t="str">
        <x:v>Schema and reference implementation</x:v>
      </x:c>
      <x:c r="L41" s="11" t="str">
        <x:v>Distributed biomanufacturing</x:v>
      </x:c>
      <x:c r="M41" s="11" t="str">
        <x:v>S08</x:v>
      </x:c>
      <x:c r="N41" s="26" t="str">
        <x:f>IF(H41&gt;=J41,"CLOSED","OPEN")</x:f>
        <x:v>OPEN</x:v>
      </x:c>
    </x:row>
    <x:row r="42">
      <x:c r="A42" s="26" t="str">
        <x:v>BIO-02</x:v>
      </x:c>
      <x:c r="B42" s="11" t="str">
        <x:v>Distributed biomanufacturing</x:v>
      </x:c>
      <x:c r="C42" s="11" t="str">
        <x:v>Facility and containment state</x:v>
      </x:c>
      <x:c r="D42" s="11" t="str">
        <x:v>Zone, barriers, air/waste systems, personnel and release status</x:v>
      </x:c>
      <x:c r="E42" s="11" t="str">
        <x:v>All</x:v>
      </x:c>
      <x:c r="F42" s="11" t="n">
        <x:v>5</x:v>
      </x:c>
      <x:c r="G42" s="11" t="str">
        <x:v>Regulated profile</x:v>
      </x:c>
      <x:c r="H42" s="27" t="n">
        <x:v>1</x:v>
      </x:c>
      <x:c r="I42" s="27" t="n">
        <x:v>2</x:v>
      </x:c>
      <x:c r="J42" s="27" t="n">
        <x:v>3</x:v>
      </x:c>
      <x:c r="K42" s="11" t="str">
        <x:v>Conformance harness and fault injection</x:v>
      </x:c>
      <x:c r="L42" s="11" t="str">
        <x:v>Distributed biomanufacturing</x:v>
      </x:c>
      <x:c r="M42" s="11" t="str">
        <x:v>S06</x:v>
      </x:c>
      <x:c r="N42" s="26" t="str">
        <x:f>IF(H42&gt;=J42,"CLOSED","OPEN")</x:f>
        <x:v>OPEN</x:v>
      </x:c>
    </x:row>
    <x:row r="43">
      <x:c r="A43" s="26" t="str">
        <x:v>BIO-03</x:v>
      </x:c>
      <x:c r="B43" s="11" t="str">
        <x:v>Distributed biomanufacturing</x:v>
      </x:c>
      <x:c r="C43" s="11" t="str">
        <x:v>In-process measurement</x:v>
      </x:c>
      <x:c r="D43" s="11" t="str">
        <x:v>Critical quality attributes, calibration, deviations and hold logic</x:v>
      </x:c>
      <x:c r="E43" s="11" t="str">
        <x:v>D0–D3</x:v>
      </x:c>
      <x:c r="F43" s="11" t="n">
        <x:v>5</x:v>
      </x:c>
      <x:c r="G43" s="11" t="str">
        <x:v>Regulated profile</x:v>
      </x:c>
      <x:c r="H43" s="27" t="n">
        <x:v>0</x:v>
      </x:c>
      <x:c r="I43" s="27" t="n">
        <x:v>1</x:v>
      </x:c>
      <x:c r="J43" s="27" t="n">
        <x:v>3</x:v>
      </x:c>
      <x:c r="K43" s="11" t="str">
        <x:v>Representative boundary trial</x:v>
      </x:c>
      <x:c r="L43" s="11" t="str">
        <x:v>Distributed biomanufacturing</x:v>
      </x:c>
      <x:c r="M43" s="11" t="str">
        <x:v>S08</x:v>
      </x:c>
      <x:c r="N43" s="26" t="str">
        <x:f>IF(H43&gt;=J43,"CLOSED","OPEN")</x:f>
        <x:v>OPEN</x:v>
      </x:c>
    </x:row>
    <x:row r="44">
      <x:c r="A44" s="26" t="str">
        <x:v>BIO-04</x:v>
      </x:c>
      <x:c r="B44" s="11" t="str">
        <x:v>Distributed biomanufacturing</x:v>
      </x:c>
      <x:c r="C44" s="11" t="str">
        <x:v>Independent batch release</x:v>
      </x:c>
      <x:c r="D44" s="11" t="str">
        <x:v>Sample, assay, chain of custody, reviewer and disposition</x:v>
      </x:c>
      <x:c r="E44" s="11" t="str">
        <x:v>All</x:v>
      </x:c>
      <x:c r="F44" s="11" t="n">
        <x:v>5</x:v>
      </x:c>
      <x:c r="G44" s="11" t="str">
        <x:v>Regulated profile</x:v>
      </x:c>
      <x:c r="H44" s="27" t="n">
        <x:v>1</x:v>
      </x:c>
      <x:c r="I44" s="27" t="n">
        <x:v>1</x:v>
      </x:c>
      <x:c r="J44" s="27" t="n">
        <x:v>3</x:v>
      </x:c>
      <x:c r="K44" s="11" t="str">
        <x:v>Independent validation dataset</x:v>
      </x:c>
      <x:c r="L44" s="11" t="str">
        <x:v>Distributed biomanufacturing</x:v>
      </x:c>
      <x:c r="M44" s="11" t="str">
        <x:v>S06</x:v>
      </x:c>
      <x:c r="N44" s="26" t="str">
        <x:f>IF(H44&gt;=J44,"CLOSED","OPEN")</x:f>
        <x:v>OPEN</x:v>
      </x:c>
    </x:row>
    <x:row r="45">
      <x:c r="A45" s="26" t="str">
        <x:v>BIO-05</x:v>
      </x:c>
      <x:c r="B45" s="11" t="str">
        <x:v>Distributed biomanufacturing</x:v>
      </x:c>
      <x:c r="C45" s="11" t="str">
        <x:v>Product switch and decontamination</x:v>
      </x:c>
      <x:c r="D45" s="11" t="str">
        <x:v>Clearance, residual risk, material flow and restart</x:v>
      </x:c>
      <x:c r="E45" s="11" t="str">
        <x:v>All</x:v>
      </x:c>
      <x:c r="F45" s="11" t="n">
        <x:v>5</x:v>
      </x:c>
      <x:c r="G45" s="11" t="str">
        <x:v>Regulated profile</x:v>
      </x:c>
      <x:c r="H45" s="27" t="n">
        <x:v>1</x:v>
      </x:c>
      <x:c r="I45" s="27" t="n">
        <x:v>1</x:v>
      </x:c>
      <x:c r="J45" s="27" t="n">
        <x:v>3</x:v>
      </x:c>
      <x:c r="K45" s="11" t="str">
        <x:v>Complete mission-thread evidence</x:v>
      </x:c>
      <x:c r="L45" s="11" t="str">
        <x:v>Distributed biomanufacturing</x:v>
      </x:c>
      <x:c r="M45" s="11" t="str">
        <x:v>S06</x:v>
      </x:c>
      <x:c r="N45" s="26" t="str">
        <x:f>IF(H45&gt;=J45,"CLOSED","OPEN")</x:f>
        <x:v>OPEN</x:v>
      </x:c>
    </x:row>
    <x:row r="46">
      <x:c r="A46" s="26" t="str">
        <x:v>IDT-01</x:v>
      </x:c>
      <x:c r="B46" s="11" t="str">
        <x:v>Industrial digital thread</x:v>
      </x:c>
      <x:c r="C46" s="11" t="str">
        <x:v>Authoritative item identifier</x:v>
      </x:c>
      <x:c r="D46" s="11" t="str">
        <x:v>Persistent identifier across design, manufacture, field and depot</x:v>
      </x:c>
      <x:c r="E46" s="11" t="str">
        <x:v>All</x:v>
      </x:c>
      <x:c r="F46" s="11" t="n">
        <x:v>4</x:v>
      </x:c>
      <x:c r="G46" s="11" t="str">
        <x:v>Open</x:v>
      </x:c>
      <x:c r="H46" s="27" t="n">
        <x:v>1</x:v>
      </x:c>
      <x:c r="I46" s="27" t="n">
        <x:v>2</x:v>
      </x:c>
      <x:c r="J46" s="27" t="n">
        <x:v>3</x:v>
      </x:c>
      <x:c r="K46" s="11" t="str">
        <x:v>Schema and reference implementation</x:v>
      </x:c>
      <x:c r="L46" s="11" t="str">
        <x:v>Industrial digital thread</x:v>
      </x:c>
      <x:c r="M46" s="11" t="str">
        <x:v>S08</x:v>
      </x:c>
      <x:c r="N46" s="26" t="str">
        <x:f>IF(H46&gt;=J46,"CLOSED","OPEN")</x:f>
        <x:v>OPEN</x:v>
      </x:c>
    </x:row>
    <x:row r="47">
      <x:c r="A47" s="26" t="str">
        <x:v>IDT-02</x:v>
      </x:c>
      <x:c r="B47" s="11" t="str">
        <x:v>Industrial digital thread</x:v>
      </x:c>
      <x:c r="C47" s="11" t="str">
        <x:v>Product/configuration baseline</x:v>
      </x:c>
      <x:c r="D47" s="11" t="str">
        <x:v>Requirements, bill, software, interfaces, deviations and effectivity</x:v>
      </x:c>
      <x:c r="E47" s="11" t="str">
        <x:v>D0–D2</x:v>
      </x:c>
      <x:c r="F47" s="11" t="n">
        <x:v>5</x:v>
      </x:c>
      <x:c r="G47" s="11" t="str">
        <x:v>Open exchange</x:v>
      </x:c>
      <x:c r="H47" s="27" t="n">
        <x:v>1</x:v>
      </x:c>
      <x:c r="I47" s="27" t="n">
        <x:v>2</x:v>
      </x:c>
      <x:c r="J47" s="27" t="n">
        <x:v>3</x:v>
      </x:c>
      <x:c r="K47" s="11" t="str">
        <x:v>Conformance harness and fault injection</x:v>
      </x:c>
      <x:c r="L47" s="11" t="str">
        <x:v>Industrial digital thread</x:v>
      </x:c>
      <x:c r="M47" s="11" t="str">
        <x:v>S08</x:v>
      </x:c>
      <x:c r="N47" s="26" t="str">
        <x:f>IF(H47&gt;=J47,"CLOSED","OPEN")</x:f>
        <x:v>OPEN</x:v>
      </x:c>
    </x:row>
    <x:row r="48">
      <x:c r="A48" s="26" t="str">
        <x:v>IDT-03</x:v>
      </x:c>
      <x:c r="B48" s="11" t="str">
        <x:v>Industrial digital thread</x:v>
      </x:c>
      <x:c r="C48" s="11" t="str">
        <x:v>Supplier and process provenance</x:v>
      </x:c>
      <x:c r="D48" s="11" t="str">
        <x:v>Source, material, process, inspection, signatures and substitutions</x:v>
      </x:c>
      <x:c r="E48" s="11" t="str">
        <x:v>D0–D2</x:v>
      </x:c>
      <x:c r="F48" s="11" t="n">
        <x:v>5</x:v>
      </x:c>
      <x:c r="G48" s="11" t="str">
        <x:v>Protected/open schema</x:v>
      </x:c>
      <x:c r="H48" s="27" t="n">
        <x:v>0</x:v>
      </x:c>
      <x:c r="I48" s="27" t="n">
        <x:v>1</x:v>
      </x:c>
      <x:c r="J48" s="27" t="n">
        <x:v>3</x:v>
      </x:c>
      <x:c r="K48" s="11" t="str">
        <x:v>Representative boundary trial</x:v>
      </x:c>
      <x:c r="L48" s="11" t="str">
        <x:v>Industrial digital thread</x:v>
      </x:c>
      <x:c r="M48" s="11" t="str">
        <x:v>S08</x:v>
      </x:c>
      <x:c r="N48" s="26" t="str">
        <x:f>IF(H48&gt;=J48,"CLOSED","OPEN")</x:f>
        <x:v>OPEN</x:v>
      </x:c>
    </x:row>
    <x:row r="49">
      <x:c r="A49" s="26" t="str">
        <x:v>IDT-04</x:v>
      </x:c>
      <x:c r="B49" s="11" t="str">
        <x:v>Industrial digital thread</x:v>
      </x:c>
      <x:c r="C49" s="11" t="str">
        <x:v>Field load and maintenance history</x:v>
      </x:c>
      <x:c r="D49" s="11" t="str">
        <x:v>Use, environment, faults, repair, parts and remaining limits</x:v>
      </x:c>
      <x:c r="E49" s="11" t="str">
        <x:v>D0–D3</x:v>
      </x:c>
      <x:c r="F49" s="11" t="n">
        <x:v>5</x:v>
      </x:c>
      <x:c r="G49" s="11" t="str">
        <x:v>Open profile</x:v>
      </x:c>
      <x:c r="H49" s="27" t="n">
        <x:v>1</x:v>
      </x:c>
      <x:c r="I49" s="27" t="n">
        <x:v>1</x:v>
      </x:c>
      <x:c r="J49" s="27" t="n">
        <x:v>3</x:v>
      </x:c>
      <x:c r="K49" s="11" t="str">
        <x:v>Independent validation dataset</x:v>
      </x:c>
      <x:c r="L49" s="11" t="str">
        <x:v>Industrial digital thread</x:v>
      </x:c>
      <x:c r="M49" s="11" t="str">
        <x:v>S02</x:v>
      </x:c>
      <x:c r="N49" s="26" t="str">
        <x:f>IF(H49&gt;=J49,"CLOSED","OPEN")</x:f>
        <x:v>OPEN</x:v>
      </x:c>
    </x:row>
    <x:row r="50">
      <x:c r="A50" s="26" t="str">
        <x:v>IDT-05</x:v>
      </x:c>
      <x:c r="B50" s="11" t="str">
        <x:v>Industrial digital thread</x:v>
      </x:c>
      <x:c r="C50" s="11" t="str">
        <x:v>Qualified substitution packet</x:v>
      </x:c>
      <x:c r="D50" s="11" t="str">
        <x:v>Equivalence claim, analysis, trial, authority and bounded effect</x:v>
      </x:c>
      <x:c r="E50" s="11" t="str">
        <x:v>All</x:v>
      </x:c>
      <x:c r="F50" s="11" t="n">
        <x:v>5</x:v>
      </x:c>
      <x:c r="G50" s="11" t="str">
        <x:v>Open profile</x:v>
      </x:c>
      <x:c r="H50" s="27" t="n">
        <x:v>1</x:v>
      </x:c>
      <x:c r="I50" s="27" t="n">
        <x:v>1</x:v>
      </x:c>
      <x:c r="J50" s="27" t="n">
        <x:v>3</x:v>
      </x:c>
      <x:c r="K50" s="11" t="str">
        <x:v>Complete mission-thread evidence</x:v>
      </x:c>
      <x:c r="L50" s="11" t="str">
        <x:v>Industrial digital thread</x:v>
      </x:c>
      <x:c r="M50" s="11" t="str">
        <x:v>S01</x:v>
      </x:c>
      <x:c r="N50" s="26" t="str">
        <x:f>IF(H50&gt;=J50,"CLOSED","OPEN")</x:f>
        <x:v>OPEN</x:v>
      </x:c>
    </x:row>
    <x:row r="51">
      <x:c r="A51" s="26" t="str">
        <x:v>CEC-01</x:v>
      </x:c>
      <x:c r="B51" s="11" t="str">
        <x:v>Resilient comms/edge compute</x:v>
      </x:c>
      <x:c r="C51" s="11" t="str">
        <x:v>Human, device and service identity</x:v>
      </x:c>
      <x:c r="D51" s="11" t="str">
        <x:v>Explicit identity, credential status, role and revocation</x:v>
      </x:c>
      <x:c r="E51" s="11" t="str">
        <x:v>D0–D3</x:v>
      </x:c>
      <x:c r="F51" s="11" t="n">
        <x:v>5</x:v>
      </x:c>
      <x:c r="G51" s="11" t="str">
        <x:v>Open profile</x:v>
      </x:c>
      <x:c r="H51" s="27" t="n">
        <x:v>1</x:v>
      </x:c>
      <x:c r="I51" s="27" t="n">
        <x:v>2</x:v>
      </x:c>
      <x:c r="J51" s="27" t="n">
        <x:v>3</x:v>
      </x:c>
      <x:c r="K51" s="11" t="str">
        <x:v>Schema and reference implementation</x:v>
      </x:c>
      <x:c r="L51" s="11" t="str">
        <x:v>Resilient comms/edge compute</x:v>
      </x:c>
      <x:c r="M51" s="11" t="str">
        <x:v>S04</x:v>
      </x:c>
      <x:c r="N51" s="26" t="str">
        <x:f>IF(H51&gt;=J51,"CLOSED","OPEN")</x:f>
        <x:v>OPEN</x:v>
      </x:c>
    </x:row>
    <x:row r="52">
      <x:c r="A52" s="26" t="str">
        <x:v>CEC-02</x:v>
      </x:c>
      <x:c r="B52" s="11" t="str">
        <x:v>Resilient comms/edge compute</x:v>
      </x:c>
      <x:c r="C52" s="11" t="str">
        <x:v>Data priority and quality of service</x:v>
      </x:c>
      <x:c r="D52" s="11" t="str">
        <x:v>Life safety, command, control, telemetry and bulk classes</x:v>
      </x:c>
      <x:c r="E52" s="11" t="str">
        <x:v>D0–D3</x:v>
      </x:c>
      <x:c r="F52" s="11" t="n">
        <x:v>4</x:v>
      </x:c>
      <x:c r="G52" s="11" t="str">
        <x:v>Open</x:v>
      </x:c>
      <x:c r="H52" s="27" t="n">
        <x:v>1</x:v>
      </x:c>
      <x:c r="I52" s="27" t="n">
        <x:v>2</x:v>
      </x:c>
      <x:c r="J52" s="27" t="n">
        <x:v>3</x:v>
      </x:c>
      <x:c r="K52" s="11" t="str">
        <x:v>Conformance harness and fault injection</x:v>
      </x:c>
      <x:c r="L52" s="11" t="str">
        <x:v>Resilient comms/edge compute</x:v>
      </x:c>
      <x:c r="M52" s="11" t="str">
        <x:v>S10</x:v>
      </x:c>
      <x:c r="N52" s="26" t="str">
        <x:f>IF(H52&gt;=J52,"CLOSED","OPEN")</x:f>
        <x:v>OPEN</x:v>
      </x:c>
    </x:row>
    <x:row r="53">
      <x:c r="A53" s="26" t="str">
        <x:v>CEC-03</x:v>
      </x:c>
      <x:c r="B53" s="11" t="str">
        <x:v>Resilient comms/edge compute</x:v>
      </x:c>
      <x:c r="C53" s="11" t="str">
        <x:v>Store, forward and reconcile</x:v>
      </x:c>
      <x:c r="D53" s="11" t="str">
        <x:v>Offline queue, conflict handling, expiry and authoritative merge</x:v>
      </x:c>
      <x:c r="E53" s="11" t="str">
        <x:v>D1–D3</x:v>
      </x:c>
      <x:c r="F53" s="11" t="n">
        <x:v>4</x:v>
      </x:c>
      <x:c r="G53" s="11" t="str">
        <x:v>Open</x:v>
      </x:c>
      <x:c r="H53" s="27" t="n">
        <x:v>0</x:v>
      </x:c>
      <x:c r="I53" s="27" t="n">
        <x:v>1</x:v>
      </x:c>
      <x:c r="J53" s="27" t="n">
        <x:v>3</x:v>
      </x:c>
      <x:c r="K53" s="11" t="str">
        <x:v>Representative boundary trial</x:v>
      </x:c>
      <x:c r="L53" s="11" t="str">
        <x:v>Resilient comms/edge compute</x:v>
      </x:c>
      <x:c r="M53" s="11" t="str">
        <x:v>S04</x:v>
      </x:c>
      <x:c r="N53" s="26" t="str">
        <x:f>IF(H53&gt;=J53,"CLOSED","OPEN")</x:f>
        <x:v>OPEN</x:v>
      </x:c>
    </x:row>
    <x:row r="54">
      <x:c r="A54" s="26" t="str">
        <x:v>CEC-04</x:v>
      </x:c>
      <x:c r="B54" s="11" t="str">
        <x:v>Resilient comms/edge compute</x:v>
      </x:c>
      <x:c r="C54" s="11" t="str">
        <x:v>Software/model update</x:v>
      </x:c>
      <x:c r="D54" s="11" t="str">
        <x:v>Signed artifact, dependency bill, rollback and disconnected approval</x:v>
      </x:c>
      <x:c r="E54" s="11" t="str">
        <x:v>D0–D3</x:v>
      </x:c>
      <x:c r="F54" s="11" t="n">
        <x:v>5</x:v>
      </x:c>
      <x:c r="G54" s="11" t="str">
        <x:v>Open profile</x:v>
      </x:c>
      <x:c r="H54" s="27" t="n">
        <x:v>1</x:v>
      </x:c>
      <x:c r="I54" s="27" t="n">
        <x:v>1</x:v>
      </x:c>
      <x:c r="J54" s="27" t="n">
        <x:v>3</x:v>
      </x:c>
      <x:c r="K54" s="11" t="str">
        <x:v>Independent validation dataset</x:v>
      </x:c>
      <x:c r="L54" s="11" t="str">
        <x:v>Resilient comms/edge compute</x:v>
      </x:c>
      <x:c r="M54" s="11" t="str">
        <x:v>S06</x:v>
      </x:c>
      <x:c r="N54" s="26" t="str">
        <x:f>IF(H54&gt;=J54,"CLOSED","OPEN")</x:f>
        <x:v>OPEN</x:v>
      </x:c>
    </x:row>
    <x:row r="55">
      <x:c r="A55" s="26" t="str">
        <x:v>CEC-05</x:v>
      </x:c>
      <x:c r="B55" s="11" t="str">
        <x:v>Resilient comms/edge compute</x:v>
      </x:c>
      <x:c r="C55" s="11" t="str">
        <x:v>Audit and emergency access</x:v>
      </x:c>
      <x:c r="D55" s="11" t="str">
        <x:v>Tamper evidence, break-glass authority, review and privacy boundary</x:v>
      </x:c>
      <x:c r="E55" s="11" t="str">
        <x:v>All</x:v>
      </x:c>
      <x:c r="F55" s="11" t="n">
        <x:v>5</x:v>
      </x:c>
      <x:c r="G55" s="11" t="str">
        <x:v>Open profile</x:v>
      </x:c>
      <x:c r="H55" s="27" t="n">
        <x:v>1</x:v>
      </x:c>
      <x:c r="I55" s="27" t="n">
        <x:v>1</x:v>
      </x:c>
      <x:c r="J55" s="27" t="n">
        <x:v>3</x:v>
      </x:c>
      <x:c r="K55" s="11" t="str">
        <x:v>Complete mission-thread evidence</x:v>
      </x:c>
      <x:c r="L55" s="11" t="str">
        <x:v>Resilient comms/edge compute</x:v>
      </x:c>
      <x:c r="M55" s="11" t="str">
        <x:v>S04</x:v>
      </x:c>
      <x:c r="N55" s="26" t="str">
        <x:f>IF(H55&gt;=J55,"CLOSED","OPEN")</x:f>
        <x:v>OPEN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39" hidden="0" customWidth="1"/>
    <x:col min="3" max="3" width="22" hidden="0" customWidth="1"/>
    <x:col min="4" max="4" width="61" hidden="0" customWidth="1"/>
    <x:col min="5" max="5" width="18" hidden="0" customWidth="1"/>
    <x:col min="6" max="6" width="22" hidden="0" customWidth="1"/>
    <x:col min="7" max="7" width="23" hidden="0" customWidth="1"/>
    <x:col min="8" max="8" width="20" hidden="0" customWidth="1"/>
    <x:col min="9" max="9" width="20" hidden="0" customWidth="1"/>
    <x:col min="10" max="10" width="18" hidden="0" customWidth="1"/>
  </x:cols>
  <x:sheetData>
    <x:row r="1">
      <x:c r="A1" s="49" t="str">
        <x:v>Representative system register</x:v>
      </x:c>
      <x:c r="B1" s="46"/>
      <x:c r="C1" s="46"/>
      <x:c r="D1" s="46"/>
      <x:c r="E1" s="46"/>
      <x:c r="F1" s="46"/>
      <x:c r="G1" s="46"/>
      <x:c r="H1" s="46"/>
      <x:c r="I1" s="46"/>
      <x:c r="J1" s="46"/>
    </x:row>
    <x:row r="2">
      <x:c r="A2" s="47" t="str">
        <x:v>Twenty-five systems used to test whether common architecture spans utility, hazard-control, mobility, health, communications and public-works families.</x:v>
      </x:c>
      <x:c r="B2" s="47"/>
      <x:c r="C2" s="47"/>
      <x:c r="D2" s="47"/>
      <x:c r="E2" s="47"/>
      <x:c r="F2" s="47"/>
      <x:c r="G2" s="47"/>
      <x:c r="H2" s="47"/>
      <x:c r="I2" s="47"/>
      <x:c r="J2" s="47"/>
    </x:row>
    <x:row r="3" ht="3" customHeight="1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3"/>
      <x:c r="L3" s="3"/>
      <x:c r="M3" s="3"/>
      <x:c r="N3" s="3"/>
    </x:row>
    <x:row r="4">
      <x:c r="A4" s="26"/>
      <x:c r="B4" s="26"/>
      <x:c r="C4" s="26"/>
      <x:c r="D4" s="26"/>
      <x:c r="E4" s="26"/>
      <x:c r="F4" s="26"/>
      <x:c r="G4" s="26"/>
      <x:c r="H4" s="26"/>
      <x:c r="I4" s="26"/>
      <x:c r="J4" s="26"/>
    </x:row>
    <x:row r="5">
      <x:c r="A5" s="25" t="str">
        <x:v>ID</x:v>
      </x:c>
      <x:c r="B5" s="25" t="str">
        <x:v>System</x:v>
      </x:c>
      <x:c r="C5" s="25" t="str">
        <x:v>Domain</x:v>
      </x:c>
      <x:c r="D5" s="25" t="str">
        <x:v>Primary effect</x:v>
      </x:c>
      <x:c r="E5" s="25" t="str">
        <x:v>Current project R</x:v>
      </x:c>
      <x:c r="F5" s="25" t="str">
        <x:v>Maximum action class</x:v>
      </x:c>
      <x:c r="G5" s="25" t="str">
        <x:v>Minimum degraded mode</x:v>
      </x:c>
      <x:c r="H5" s="25" t="str">
        <x:v>Required primitives</x:v>
      </x:c>
      <x:c r="I5" s="25" t="str">
        <x:v>Unclosed primitives</x:v>
      </x:c>
      <x:c r="J5" s="25" t="str">
        <x:v>Rendering state</x:v>
      </x:c>
    </x:row>
    <x:row r="6">
      <x:c r="A6" s="26" t="str">
        <x:v>WRG-50</x:v>
      </x:c>
      <x:c r="B6" s="11" t="str">
        <x:v>Regional Water Restoration Group</x:v>
      </x:c>
      <x:c r="C6" s="11" t="str">
        <x:v>Water</x:v>
      </x:c>
      <x:c r="D6" s="11" t="str">
        <x:v>Deliver 50,000 m3/day through treatment, storage and distribution</x:v>
      </x:c>
      <x:c r="E6" s="27" t="n">
        <x:v>2.5</x:v>
      </x:c>
      <x:c r="F6" s="27" t="str">
        <x:v>A3</x:v>
      </x:c>
      <x:c r="G6" s="27" t="str">
        <x:v>D3</x:v>
      </x:c>
      <x:c r="H6" s="26" t="n">
        <x:f>COUNTIF('Requirement Matrix'!D6:M6,"&gt;0")</x:f>
        <x:v>9</x:v>
      </x:c>
      <x:c r="I6" s="26" t="n">
        <x:f>'Conformance Results'!D6</x:f>
        <x:v>9</x:v>
      </x:c>
      <x:c r="J6" s="26" t="str">
        <x:f>'Conformance Results'!F6</x:f>
        <x:v>BLOCKED</x:v>
      </x:c>
    </x:row>
    <x:row r="7">
      <x:c r="A7" s="26" t="str">
        <x:v>PRG-100</x:v>
      </x:c>
      <x:c r="B7" s="11" t="str">
        <x:v>Power Restoration Group</x:v>
      </x:c>
      <x:c r="C7" s="11" t="str">
        <x:v>Power</x:v>
      </x:c>
      <x:c r="D7" s="11" t="str">
        <x:v>Deliver 100 MW critical-load utility islands or grid bridges</x:v>
      </x:c>
      <x:c r="E7" s="27" t="n">
        <x:v>2.5</x:v>
      </x:c>
      <x:c r="F7" s="27" t="str">
        <x:v>A3</x:v>
      </x:c>
      <x:c r="G7" s="27" t="str">
        <x:v>D3</x:v>
      </x:c>
      <x:c r="H7" s="26" t="n">
        <x:f>COUNTIF('Requirement Matrix'!D7:M7,"&gt;0")</x:f>
        <x:v>8</x:v>
      </x:c>
      <x:c r="I7" s="26" t="n">
        <x:f>'Conformance Results'!D7</x:f>
        <x:v>8</x:v>
      </x:c>
      <x:c r="J7" s="26" t="str">
        <x:f>'Conformance Results'!F7</x:f>
        <x:v>BLOCKED</x:v>
      </x:c>
    </x:row>
    <x:row r="8">
      <x:c r="A8" s="26" t="str">
        <x:v>IIN</x:v>
      </x:c>
      <x:c r="B8" s="11" t="str">
        <x:v>Ignition Intercept Network</x:v>
      </x:c>
      <x:c r="C8" s="11" t="str">
        <x:v>Fire</x:v>
      </x:c>
      <x:c r="D8" s="11" t="str">
        <x:v>Place verified first effect before threatening ignition escape</x:v>
      </x:c>
      <x:c r="E8" s="27" t="n">
        <x:v>2.5</x:v>
      </x:c>
      <x:c r="F8" s="27" t="str">
        <x:v>A3</x:v>
      </x:c>
      <x:c r="G8" s="27" t="str">
        <x:v>D2</x:v>
      </x:c>
      <x:c r="H8" s="26" t="n">
        <x:f>COUNTIF('Requirement Matrix'!D8:M8,"&gt;0")</x:f>
        <x:v>9</x:v>
      </x:c>
      <x:c r="I8" s="26" t="n">
        <x:f>'Conformance Results'!D8</x:f>
        <x:v>9</x:v>
      </x:c>
      <x:c r="J8" s="26" t="str">
        <x:f>'Conformance Results'!F8</x:f>
        <x:v>BLOCKED</x:v>
      </x:c>
    </x:row>
    <x:row r="9">
      <x:c r="A9" s="26" t="str">
        <x:v>IFCG</x:v>
      </x:c>
      <x:c r="B9" s="11" t="str">
        <x:v>Integrated Fire Control Group</x:v>
      </x:c>
      <x:c r="C9" s="11" t="str">
        <x:v>Fire</x:v>
      </x:c>
      <x:c r="D9" s="11" t="str">
        <x:v>Control escaped fire and protect communities</x:v>
      </x:c>
      <x:c r="E9" s="27" t="n">
        <x:v>2.5</x:v>
      </x:c>
      <x:c r="F9" s="27" t="str">
        <x:v>A4</x:v>
      </x:c>
      <x:c r="G9" s="27" t="str">
        <x:v>D2</x:v>
      </x:c>
      <x:c r="H9" s="26" t="n">
        <x:f>COUNTIF('Requirement Matrix'!D9:M9,"&gt;0")</x:f>
        <x:v>9</x:v>
      </x:c>
      <x:c r="I9" s="26" t="n">
        <x:f>'Conformance Results'!D9</x:f>
        <x:v>9</x:v>
      </x:c>
      <x:c r="J9" s="26" t="str">
        <x:f>'Conformance Results'!F9</x:f>
        <x:v>BLOCKED</x:v>
      </x:c>
    </x:row>
    <x:row r="10">
      <x:c r="A10" s="26" t="str">
        <x:v>FIN</x:v>
      </x:c>
      <x:c r="B10" s="11" t="str">
        <x:v>Flood Intercept Network</x:v>
      </x:c>
      <x:c r="C10" s="11" t="str">
        <x:v>Flood</x:v>
      </x:c>
      <x:c r="D10" s="11" t="str">
        <x:v>Act before location-specific water/access threshold</x:v>
      </x:c>
      <x:c r="E10" s="27" t="n">
        <x:v>2.5</x:v>
      </x:c>
      <x:c r="F10" s="27" t="str">
        <x:v>A3</x:v>
      </x:c>
      <x:c r="G10" s="27" t="str">
        <x:v>D2</x:v>
      </x:c>
      <x:c r="H10" s="26" t="n">
        <x:f>COUNTIF('Requirement Matrix'!D10:M10,"&gt;0")</x:f>
        <x:v>9</x:v>
      </x:c>
      <x:c r="I10" s="26" t="n">
        <x:f>'Conformance Results'!D10</x:f>
        <x:v>9</x:v>
      </x:c>
      <x:c r="J10" s="26" t="str">
        <x:f>'Conformance Results'!F10</x:f>
        <x:v>BLOCKED</x:v>
      </x:c>
    </x:row>
    <x:row r="11">
      <x:c r="A11" s="26" t="str">
        <x:v>HCG-100</x:v>
      </x:c>
      <x:c r="B11" s="11" t="str">
        <x:v>Hydraulic Control Group</x:v>
      </x:c>
      <x:c r="C11" s="11" t="str">
        <x:v>Flood</x:v>
      </x:c>
      <x:c r="D11" s="11" t="str">
        <x:v>Regional water control, access and recovery</x:v>
      </x:c>
      <x:c r="E11" s="27" t="n">
        <x:v>2.5</x:v>
      </x:c>
      <x:c r="F11" s="27" t="str">
        <x:v>A4</x:v>
      </x:c>
      <x:c r="G11" s="27" t="str">
        <x:v>D3</x:v>
      </x:c>
      <x:c r="H11" s="26" t="n">
        <x:f>COUNTIF('Requirement Matrix'!D11:M11,"&gt;0")</x:f>
        <x:v>9</x:v>
      </x:c>
      <x:c r="I11" s="26" t="n">
        <x:f>'Conformance Results'!D11</x:f>
        <x:v>9</x:v>
      </x:c>
      <x:c r="J11" s="26" t="str">
        <x:f>'Conformance Results'!F11</x:f>
        <x:v>BLOCKED</x:v>
      </x:c>
    </x:row>
    <x:row r="12">
      <x:c r="A12" s="26" t="str">
        <x:v>N-WEP</x:v>
      </x:c>
      <x:c r="B12" s="11" t="str">
        <x:v>Nuclear Water-Energy Platform</x:v>
      </x:c>
      <x:c r="C12" s="11" t="str">
        <x:v>Water/Power</x:v>
      </x:c>
      <x:c r="D12" s="11" t="str">
        <x:v>Long-duration coastal or island water and grid support</x:v>
      </x:c>
      <x:c r="E12" s="27" t="n">
        <x:v>2</x:v>
      </x:c>
      <x:c r="F12" s="27" t="str">
        <x:v>A4</x:v>
      </x:c>
      <x:c r="G12" s="27" t="str">
        <x:v>D3</x:v>
      </x:c>
      <x:c r="H12" s="26" t="n">
        <x:f>COUNTIF('Requirement Matrix'!D12:M12,"&gt;0")</x:f>
        <x:v>9</x:v>
      </x:c>
      <x:c r="I12" s="26" t="n">
        <x:f>'Conformance Results'!D12</x:f>
        <x:v>9</x:v>
      </x:c>
      <x:c r="J12" s="26" t="str">
        <x:f>'Conformance Results'!F12</x:f>
        <x:v>BLOCKED</x:v>
      </x:c>
    </x:row>
    <x:row r="13">
      <x:c r="A13" s="26" t="str">
        <x:v>MR-3</x:v>
      </x:c>
      <x:c r="B13" s="11" t="str">
        <x:v>Resilience Support Carrier</x:v>
      </x:c>
      <x:c r="C13" s="11" t="str">
        <x:v>Maritime</x:v>
      </x:c>
      <x:c r="D13" s="11" t="str">
        <x:v>Sustain and repair distributed formations without shore base</x:v>
      </x:c>
      <x:c r="E13" s="27" t="n">
        <x:v>2</x:v>
      </x:c>
      <x:c r="F13" s="27" t="str">
        <x:v>A3</x:v>
      </x:c>
      <x:c r="G13" s="27" t="str">
        <x:v>D3</x:v>
      </x:c>
      <x:c r="H13" s="26" t="n">
        <x:f>COUNTIF('Requirement Matrix'!D13:M13,"&gt;0")</x:f>
        <x:v>9</x:v>
      </x:c>
      <x:c r="I13" s="26" t="n">
        <x:f>'Conformance Results'!D13</x:f>
        <x:v>9</x:v>
      </x:c>
      <x:c r="J13" s="26" t="str">
        <x:f>'Conformance Results'!F13</x:f>
        <x:v>BLOCKED</x:v>
      </x:c>
    </x:row>
    <x:row r="14">
      <x:c r="A14" s="26" t="str">
        <x:v>MH-1</x:v>
      </x:c>
      <x:c r="B14" s="11" t="str">
        <x:v>Littoral Stabilization Ship</x:v>
      </x:c>
      <x:c r="C14" s="11" t="str">
        <x:v>Health/Maritime</x:v>
      </x:c>
      <x:c r="D14" s="11" t="str">
        <x:v>Hours-to-days coastal emergency and limited surgical care</x:v>
      </x:c>
      <x:c r="E14" s="27" t="n">
        <x:v>1</x:v>
      </x:c>
      <x:c r="F14" s="27" t="str">
        <x:v>A4</x:v>
      </x:c>
      <x:c r="G14" s="27" t="str">
        <x:v>D3</x:v>
      </x:c>
      <x:c r="H14" s="26" t="n">
        <x:f>COUNTIF('Requirement Matrix'!D14:M14,"&gt;0")</x:f>
        <x:v>10</x:v>
      </x:c>
      <x:c r="I14" s="26" t="n">
        <x:f>'Conformance Results'!D14</x:f>
        <x:v>10</x:v>
      </x:c>
      <x:c r="J14" s="26" t="str">
        <x:f>'Conformance Results'!F14</x:f>
        <x:v>BLOCKED</x:v>
      </x:c>
    </x:row>
    <x:row r="15">
      <x:c r="A15" s="26" t="str">
        <x:v>MH-2</x:v>
      </x:c>
      <x:c r="B15" s="11" t="str">
        <x:v>Regional Clinical Support Ship</x:v>
      </x:c>
      <x:c r="C15" s="11" t="str">
        <x:v>Health/Maritime</x:v>
      </x:c>
      <x:c r="D15" s="11" t="str">
        <x:v>Weeks of specialty and chronic/acute support</x:v>
      </x:c>
      <x:c r="E15" s="27" t="n">
        <x:v>1</x:v>
      </x:c>
      <x:c r="F15" s="27" t="str">
        <x:v>A4</x:v>
      </x:c>
      <x:c r="G15" s="27" t="str">
        <x:v>D3</x:v>
      </x:c>
      <x:c r="H15" s="26" t="n">
        <x:f>COUNTIF('Requirement Matrix'!D15:M15,"&gt;0")</x:f>
        <x:v>10</x:v>
      </x:c>
      <x:c r="I15" s="26" t="n">
        <x:f>'Conformance Results'!D15</x:f>
        <x:v>10</x:v>
      </x:c>
      <x:c r="J15" s="26" t="str">
        <x:f>'Conformance Results'!F15</x:f>
        <x:v>BLOCKED</x:v>
      </x:c>
    </x:row>
    <x:row r="16">
      <x:c r="A16" s="26" t="str">
        <x:v>MH-3</x:v>
      </x:c>
      <x:c r="B16" s="11" t="str">
        <x:v>Strategic Health Support Platform</x:v>
      </x:c>
      <x:c r="C16" s="11" t="str">
        <x:v>Health/Maritime</x:v>
      </x:c>
      <x:c r="D16" s="11" t="str">
        <x:v>Regional clinical, laboratory and health-logistics hub</x:v>
      </x:c>
      <x:c r="E16" s="27" t="n">
        <x:v>1</x:v>
      </x:c>
      <x:c r="F16" s="27" t="str">
        <x:v>A4</x:v>
      </x:c>
      <x:c r="G16" s="27" t="str">
        <x:v>D3</x:v>
      </x:c>
      <x:c r="H16" s="26" t="n">
        <x:f>COUNTIF('Requirement Matrix'!D16:M16,"&gt;0")</x:f>
        <x:v>10</x:v>
      </x:c>
      <x:c r="I16" s="26" t="n">
        <x:f>'Conformance Results'!D16</x:f>
        <x:v>10</x:v>
      </x:c>
      <x:c r="J16" s="26" t="str">
        <x:f>'Conformance Results'!F16</x:f>
        <x:v>BLOCKED</x:v>
      </x:c>
    </x:row>
    <x:row r="17">
      <x:c r="A17" s="26" t="str">
        <x:v>AM-2</x:v>
      </x:c>
      <x:c r="B17" s="11" t="str">
        <x:v>Short-Field Disaster Airlifter</x:v>
      </x:c>
      <x:c r="C17" s="11" t="str">
        <x:v>Air Mobility</x:v>
      </x:c>
      <x:c r="D17" s="11" t="str">
        <x:v>High-cycle theater movement to degraded fields</x:v>
      </x:c>
      <x:c r="E17" s="27" t="n">
        <x:v>2</x:v>
      </x:c>
      <x:c r="F17" s="27" t="str">
        <x:v>A3</x:v>
      </x:c>
      <x:c r="G17" s="27" t="str">
        <x:v>D2</x:v>
      </x:c>
      <x:c r="H17" s="26" t="n">
        <x:f>COUNTIF('Requirement Matrix'!D17:M17,"&gt;0")</x:f>
        <x:v>8</x:v>
      </x:c>
      <x:c r="I17" s="26" t="n">
        <x:f>'Conformance Results'!D17</x:f>
        <x:v>8</x:v>
      </x:c>
      <x:c r="J17" s="26" t="str">
        <x:f>'Conformance Results'!F17</x:f>
        <x:v>BLOCKED</x:v>
      </x:c>
    </x:row>
    <x:row r="18">
      <x:c r="A18" s="26" t="str">
        <x:v>AM-3</x:v>
      </x:c>
      <x:c r="B18" s="11" t="str">
        <x:v>Vertical Access Family</x:v>
      </x:c>
      <x:c r="C18" s="11" t="str">
        <x:v>Air Mobility</x:v>
      </x:c>
      <x:c r="D18" s="11" t="str">
        <x:v>Patient, team, sensor, repair and priority-cargo access</x:v>
      </x:c>
      <x:c r="E18" s="27" t="n">
        <x:v>1</x:v>
      </x:c>
      <x:c r="F18" s="27" t="str">
        <x:v>A4</x:v>
      </x:c>
      <x:c r="G18" s="27" t="str">
        <x:v>D2</x:v>
      </x:c>
      <x:c r="H18" s="26" t="n">
        <x:f>COUNTIF('Requirement Matrix'!D18:M18,"&gt;0")</x:f>
        <x:v>8</x:v>
      </x:c>
      <x:c r="I18" s="26" t="n">
        <x:f>'Conformance Results'!D18</x:f>
        <x:v>8</x:v>
      </x:c>
      <x:c r="J18" s="26" t="str">
        <x:f>'Conformance Results'!F18</x:f>
        <x:v>BLOCKED</x:v>
      </x:c>
    </x:row>
    <x:row r="19">
      <x:c r="A19" s="26" t="str">
        <x:v>FA-2</x:v>
      </x:c>
      <x:c r="B19" s="11" t="str">
        <x:v>Rapid Attack Aircraft</x:v>
      </x:c>
      <x:c r="C19" s="11" t="str">
        <x:v>Fire Aviation</x:v>
      </x:c>
      <x:c r="D19" s="11" t="str">
        <x:v>High sortie rate and precision in first operational period</x:v>
      </x:c>
      <x:c r="E19" s="27" t="n">
        <x:v>2</x:v>
      </x:c>
      <x:c r="F19" s="27" t="str">
        <x:v>A3</x:v>
      </x:c>
      <x:c r="G19" s="27" t="str">
        <x:v>D2</x:v>
      </x:c>
      <x:c r="H19" s="26" t="n">
        <x:f>COUNTIF('Requirement Matrix'!D19:M19,"&gt;0")</x:f>
        <x:v>9</x:v>
      </x:c>
      <x:c r="I19" s="26" t="n">
        <x:f>'Conformance Results'!D19</x:f>
        <x:v>9</x:v>
      </x:c>
      <x:c r="J19" s="26" t="str">
        <x:f>'Conformance Results'!F19</x:f>
        <x:v>BLOCKED</x:v>
      </x:c>
    </x:row>
    <x:row r="20">
      <x:c r="A20" s="26" t="str">
        <x:v>FA-3</x:v>
      </x:c>
      <x:c r="B20" s="11" t="str">
        <x:v>Regional Amphibious Suppressor</x:v>
      </x:c>
      <x:c r="C20" s="11" t="str">
        <x:v>Fire Aviation</x:v>
      </x:c>
      <x:c r="D20" s="11" t="str">
        <x:v>Repeated attack near suitable water</x:v>
      </x:c>
      <x:c r="E20" s="27" t="n">
        <x:v>2</x:v>
      </x:c>
      <x:c r="F20" s="27" t="str">
        <x:v>A3</x:v>
      </x:c>
      <x:c r="G20" s="27" t="str">
        <x:v>D2</x:v>
      </x:c>
      <x:c r="H20" s="26" t="n">
        <x:f>COUNTIF('Requirement Matrix'!D20:M20,"&gt;0")</x:f>
        <x:v>9</x:v>
      </x:c>
      <x:c r="I20" s="26" t="n">
        <x:f>'Conformance Results'!D20</x:f>
        <x:v>9</x:v>
      </x:c>
      <x:c r="J20" s="26" t="str">
        <x:f>'Conformance Results'!F20</x:f>
        <x:v>BLOCKED</x:v>
      </x:c>
    </x:row>
    <x:row r="21">
      <x:c r="A21" s="26" t="str">
        <x:v>FA-4</x:v>
      </x:c>
      <x:c r="B21" s="11" t="str">
        <x:v>Heavy Line Builder</x:v>
      </x:c>
      <x:c r="C21" s="11" t="str">
        <x:v>Fire Aviation</x:v>
      </x:c>
      <x:c r="D21" s="11" t="str">
        <x:v>Build long controlled agent line</x:v>
      </x:c>
      <x:c r="E21" s="27" t="n">
        <x:v>2</x:v>
      </x:c>
      <x:c r="F21" s="27" t="str">
        <x:v>A3</x:v>
      </x:c>
      <x:c r="G21" s="27" t="str">
        <x:v>D2</x:v>
      </x:c>
      <x:c r="H21" s="26" t="n">
        <x:f>COUNTIF('Requirement Matrix'!D21:M21,"&gt;0")</x:f>
        <x:v>9</x:v>
      </x:c>
      <x:c r="I21" s="26" t="n">
        <x:f>'Conformance Results'!D21</x:f>
        <x:v>9</x:v>
      </x:c>
      <x:c r="J21" s="26" t="str">
        <x:f>'Conformance Results'!F21</x:f>
        <x:v>BLOCKED</x:v>
      </x:c>
    </x:row>
    <x:row r="22">
      <x:c r="A22" s="26" t="str">
        <x:v>C-2</x:v>
      </x:c>
      <x:c r="B22" s="11" t="str">
        <x:v>Incident Network Node</x:v>
      </x:c>
      <x:c r="C22" s="11" t="str">
        <x:v>Communications</x:v>
      </x:c>
      <x:c r="D22" s="11" t="str">
        <x:v>Local broadband, compute, gateways and sensor ingestion</x:v>
      </x:c>
      <x:c r="E22" s="27" t="n">
        <x:v>1</x:v>
      </x:c>
      <x:c r="F22" s="27" t="str">
        <x:v>A2</x:v>
      </x:c>
      <x:c r="G22" s="27" t="str">
        <x:v>D3</x:v>
      </x:c>
      <x:c r="H22" s="26" t="n">
        <x:f>COUNTIF('Requirement Matrix'!D22:M22,"&gt;0")</x:f>
        <x:v>7</x:v>
      </x:c>
      <x:c r="I22" s="26" t="n">
        <x:f>'Conformance Results'!D22</x:f>
        <x:v>7</x:v>
      </x:c>
      <x:c r="J22" s="26" t="str">
        <x:f>'Conformance Results'!F22</x:f>
        <x:v>BLOCKED</x:v>
      </x:c>
    </x:row>
    <x:row r="23">
      <x:c r="A23" s="26" t="str">
        <x:v>C-3</x:v>
      </x:c>
      <x:c r="B23" s="11" t="str">
        <x:v>Airborne Coverage and Relay</x:v>
      </x:c>
      <x:c r="C23" s="11" t="str">
        <x:v>Communications</x:v>
      </x:c>
      <x:c r="D23" s="11" t="str">
        <x:v>Area communications when towers/backhaul fail</x:v>
      </x:c>
      <x:c r="E23" s="27" t="n">
        <x:v>1</x:v>
      </x:c>
      <x:c r="F23" s="27" t="str">
        <x:v>A2</x:v>
      </x:c>
      <x:c r="G23" s="27" t="str">
        <x:v>D2</x:v>
      </x:c>
      <x:c r="H23" s="26" t="n">
        <x:f>COUNTIF('Requirement Matrix'!D23:M23,"&gt;0")</x:f>
        <x:v>7</x:v>
      </x:c>
      <x:c r="I23" s="26" t="n">
        <x:f>'Conformance Results'!D23</x:f>
        <x:v>7</x:v>
      </x:c>
      <x:c r="J23" s="26" t="str">
        <x:f>'Conformance Results'!F23</x:f>
        <x:v>BLOCKED</x:v>
      </x:c>
    </x:row>
    <x:row r="24">
      <x:c r="A24" s="26" t="str">
        <x:v>C-4</x:v>
      </x:c>
      <x:c r="B24" s="11" t="str">
        <x:v>Strategic Backhaul and Emergency Cloud</x:v>
      </x:c>
      <x:c r="C24" s="11" t="str">
        <x:v>Communications</x:v>
      </x:c>
      <x:c r="D24" s="11" t="str">
        <x:v>Diverse national connectivity and sovereign computation</x:v>
      </x:c>
      <x:c r="E24" s="27" t="n">
        <x:v>1</x:v>
      </x:c>
      <x:c r="F24" s="27" t="str">
        <x:v>A2</x:v>
      </x:c>
      <x:c r="G24" s="27" t="str">
        <x:v>D2</x:v>
      </x:c>
      <x:c r="H24" s="26" t="n">
        <x:f>COUNTIF('Requirement Matrix'!D24:M24,"&gt;0")</x:f>
        <x:v>7</x:v>
      </x:c>
      <x:c r="I24" s="26" t="n">
        <x:f>'Conformance Results'!D24</x:f>
        <x:v>7</x:v>
      </x:c>
      <x:c r="J24" s="26" t="str">
        <x:f>'Conformance Results'!F24</x:f>
        <x:v>BLOCKED</x:v>
      </x:c>
    </x:row>
    <x:row r="25">
      <x:c r="A25" s="26" t="str">
        <x:v>EW-2</x:v>
      </x:c>
      <x:c r="B25" s="11" t="str">
        <x:v>Common Autonomous Work Machine</x:v>
      </x:c>
      <x:c r="C25" s="11" t="str">
        <x:v>Public Works</x:v>
      </x:c>
      <x:c r="D25" s="11" t="str">
        <x:v>Hazardous earthwork, fireline, debris and utility work</x:v>
      </x:c>
      <x:c r="E25" s="27" t="n">
        <x:v>2</x:v>
      </x:c>
      <x:c r="F25" s="27" t="str">
        <x:v>A3</x:v>
      </x:c>
      <x:c r="G25" s="27" t="str">
        <x:v>D3</x:v>
      </x:c>
      <x:c r="H25" s="26" t="n">
        <x:f>COUNTIF('Requirement Matrix'!D25:M25,"&gt;0")</x:f>
        <x:v>8</x:v>
      </x:c>
      <x:c r="I25" s="26" t="n">
        <x:f>'Conformance Results'!D25</x:f>
        <x:v>8</x:v>
      </x:c>
      <x:c r="J25" s="26" t="str">
        <x:f>'Conformance Results'!F25</x:f>
        <x:v>BLOCKED</x:v>
      </x:c>
    </x:row>
    <x:row r="26">
      <x:c r="A26" s="26" t="str">
        <x:v>EW-3</x:v>
      </x:c>
      <x:c r="B26" s="11" t="str">
        <x:v>Debris Processing Line</x:v>
      </x:c>
      <x:c r="C26" s="11" t="str">
        <x:v>Public Works</x:v>
      </x:c>
      <x:c r="D26" s="11" t="str">
        <x:v>Characterize, sort, recover, contain and document debris</x:v>
      </x:c>
      <x:c r="E26" s="27" t="n">
        <x:v>1.5</x:v>
      </x:c>
      <x:c r="F26" s="27" t="str">
        <x:v>A3</x:v>
      </x:c>
      <x:c r="G26" s="27" t="str">
        <x:v>D3</x:v>
      </x:c>
      <x:c r="H26" s="26" t="n">
        <x:f>COUNTIF('Requirement Matrix'!D26:M26,"&gt;0")</x:f>
        <x:v>9</x:v>
      </x:c>
      <x:c r="I26" s="26" t="n">
        <x:f>'Conformance Results'!D26</x:f>
        <x:v>9</x:v>
      </x:c>
      <x:c r="J26" s="26" t="str">
        <x:f>'Conformance Results'!F26</x:f>
        <x:v>BLOCKED</x:v>
      </x:c>
    </x:row>
    <x:row r="27">
      <x:c r="A27" s="26" t="str">
        <x:v>EW-4</x:v>
      </x:c>
      <x:c r="B27" s="11" t="str">
        <x:v>Rapid Utility Corridor</x:v>
      </x:c>
      <x:c r="C27" s="11" t="str">
        <x:v>Public Works</x:v>
      </x:c>
      <x:c r="D27" s="11" t="str">
        <x:v>Place pipe, cable, hose and access along damaged routes</x:v>
      </x:c>
      <x:c r="E27" s="27" t="n">
        <x:v>1</x:v>
      </x:c>
      <x:c r="F27" s="27" t="str">
        <x:v>A3</x:v>
      </x:c>
      <x:c r="G27" s="27" t="str">
        <x:v>D3</x:v>
      </x:c>
      <x:c r="H27" s="26" t="n">
        <x:f>COUNTIF('Requirement Matrix'!D27:M27,"&gt;0")</x:f>
        <x:v>9</x:v>
      </x:c>
      <x:c r="I27" s="26" t="n">
        <x:f>'Conformance Results'!D27</x:f>
        <x:v>9</x:v>
      </x:c>
      <x:c r="J27" s="26" t="str">
        <x:f>'Conformance Results'!F27</x:f>
        <x:v>BLOCKED</x:v>
      </x:c>
    </x:row>
    <x:row r="28">
      <x:c r="A28" s="26" t="str">
        <x:v>BR-2</x:v>
      </x:c>
      <x:c r="B28" s="11" t="str">
        <x:v>Heavy Modular Bridge</x:v>
      </x:c>
      <x:c r="C28" s="11" t="str">
        <x:v>Access</x:v>
      </x:c>
      <x:c r="D28" s="11" t="str">
        <x:v>Days-scale heavy logistics access</x:v>
      </x:c>
      <x:c r="E28" s="27" t="n">
        <x:v>1</x:v>
      </x:c>
      <x:c r="F28" s="27" t="str">
        <x:v>A3</x:v>
      </x:c>
      <x:c r="G28" s="27" t="str">
        <x:v>D3</x:v>
      </x:c>
      <x:c r="H28" s="26" t="n">
        <x:f>COUNTIF('Requirement Matrix'!D28:M28,"&gt;0")</x:f>
        <x:v>8</x:v>
      </x:c>
      <x:c r="I28" s="26" t="n">
        <x:f>'Conformance Results'!D28</x:f>
        <x:v>8</x:v>
      </x:c>
      <x:c r="J28" s="26" t="str">
        <x:f>'Conformance Results'!F28</x:f>
        <x:v>BLOCKED</x:v>
      </x:c>
    </x:row>
    <x:row r="29">
      <x:c r="A29" s="26" t="str">
        <x:v>HM-3</x:v>
      </x:c>
      <x:c r="B29" s="11" t="str">
        <x:v>Modular Theater Hospital</x:v>
      </x:c>
      <x:c r="C29" s="11" t="str">
        <x:v>Health</x:v>
      </x:c>
      <x:c r="D29" s="11" t="str">
        <x:v>Flexible staffed inpatient and specialty capacity</x:v>
      </x:c>
      <x:c r="E29" s="27" t="n">
        <x:v>1</x:v>
      </x:c>
      <x:c r="F29" s="27" t="str">
        <x:v>A4</x:v>
      </x:c>
      <x:c r="G29" s="27" t="str">
        <x:v>D3</x:v>
      </x:c>
      <x:c r="H29" s="26" t="n">
        <x:f>COUNTIF('Requirement Matrix'!D29:M29,"&gt;0")</x:f>
        <x:v>10</x:v>
      </x:c>
      <x:c r="I29" s="26" t="n">
        <x:f>'Conformance Results'!D29</x:f>
        <x:v>10</x:v>
      </x:c>
      <x:c r="J29" s="26" t="str">
        <x:f>'Conformance Results'!F29</x:f>
        <x:v>BLOCKED</x:v>
      </x:c>
    </x:row>
    <x:row r="30">
      <x:c r="A30" s="26" t="str">
        <x:v>R-4</x:v>
      </x:c>
      <x:c r="B30" s="11" t="str">
        <x:v>Utility Inspection and Repair Robot</x:v>
      </x:c>
      <x:c r="C30" s="11" t="str">
        <x:v>Robotics</x:v>
      </x:c>
      <x:c r="D30" s="11" t="str">
        <x:v>Find and address faults in confined or damaged systems</x:v>
      </x:c>
      <x:c r="E30" s="27" t="n">
        <x:v>1</x:v>
      </x:c>
      <x:c r="F30" s="27" t="str">
        <x:v>A3</x:v>
      </x:c>
      <x:c r="G30" s="27" t="str">
        <x:v>D3</x:v>
      </x:c>
      <x:c r="H30" s="26" t="n">
        <x:f>COUNTIF('Requirement Matrix'!D30:M30,"&gt;0")</x:f>
        <x:v>8</x:v>
      </x:c>
      <x:c r="I30" s="26" t="n">
        <x:f>'Conformance Results'!D30</x:f>
        <x:v>8</x:v>
      </x:c>
      <x:c r="J30" s="26" t="str">
        <x:f>'Conformance Results'!F30</x:f>
        <x:v>BLOCKED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2" hidden="0" customWidth="1"/>
    <x:col min="2" max="2" width="34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9" hidden="0" customWidth="1"/>
  </x:cols>
  <x:sheetData>
    <x:row r="1">
      <x:c r="A1" s="49" t="str">
        <x:v>System-to-primitive requirement matrix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46"/>
    </x:row>
    <x:row r="2">
      <x:c r="A2" s="47" t="str">
        <x:v>0 none; 1 consumes; 2 provides; 3 controls or carries a high-consequence decision. Values are architecture hypotheses.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</x:row>
    <x:row r="3" ht="3" customHeight="1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</x:row>
    <x:row r="4">
      <x:c r="A4" s="26"/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</x:row>
    <x:row r="5">
      <x:c r="A5" s="25" t="str">
        <x:v>ID</x:v>
      </x:c>
      <x:c r="B5" s="25" t="str">
        <x:v>System</x:v>
      </x:c>
      <x:c r="C5" s="25" t="str">
        <x:v>Domain</x:v>
      </x:c>
      <x:c r="D5" s="25" t="str">
        <x:v>Observation fabric</x:v>
      </x:c>
      <x:c r="E5" s="25" t="str">
        <x:v>Causal digital twin</x:v>
      </x:c>
      <x:c r="F5" s="25" t="str">
        <x:v>Extreme-environment autonomy</x:v>
      </x:c>
      <x:c r="G5" s="25" t="str">
        <x:v>Mobile power/fluid/thermal bus</x:v>
      </x:c>
      <x:c r="H5" s="25" t="str">
        <x:v>Advanced separations</x:v>
      </x:c>
      <x:c r="I5" s="25" t="str">
        <x:v>Rapid infrastructure fabrication</x:v>
      </x:c>
      <x:c r="J5" s="25" t="str">
        <x:v>Adaptive structures/materials</x:v>
      </x:c>
      <x:c r="K5" s="25" t="str">
        <x:v>Distributed biomanufacturing</x:v>
      </x:c>
      <x:c r="L5" s="25" t="str">
        <x:v>Industrial digital thread</x:v>
      </x:c>
      <x:c r="M5" s="25" t="str">
        <x:v>Resilient comms/edge compute</x:v>
      </x:c>
      <x:c r="N5" s="25" t="str">
        <x:v>Total role weight</x:v>
      </x:c>
    </x:row>
    <x:row r="6">
      <x:c r="A6" s="26" t="str">
        <x:v>WRG-50</x:v>
      </x:c>
      <x:c r="B6" s="26" t="str">
        <x:v>Regional Water Restoration Group</x:v>
      </x:c>
      <x:c r="C6" s="26" t="str">
        <x:v>Water</x:v>
      </x:c>
      <x:c r="D6" s="27" t="n">
        <x:v>2</x:v>
      </x:c>
      <x:c r="E6" s="27" t="n">
        <x:v>2</x:v>
      </x:c>
      <x:c r="F6" s="27" t="n">
        <x:v>1</x:v>
      </x:c>
      <x:c r="G6" s="27" t="n">
        <x:v>3</x:v>
      </x:c>
      <x:c r="H6" s="27" t="n">
        <x:v>3</x:v>
      </x:c>
      <x:c r="I6" s="27" t="n">
        <x:v>2</x:v>
      </x:c>
      <x:c r="J6" s="27" t="n">
        <x:v>1</x:v>
      </x:c>
      <x:c r="K6" s="27" t="n">
        <x:v>0</x:v>
      </x:c>
      <x:c r="L6" s="27" t="n">
        <x:v>3</x:v>
      </x:c>
      <x:c r="M6" s="27" t="n">
        <x:v>2</x:v>
      </x:c>
      <x:c r="N6" s="26" t="n">
        <x:f>SUM(D6:M6)</x:f>
        <x:v>19</x:v>
      </x:c>
    </x:row>
    <x:row r="7">
      <x:c r="A7" s="26" t="str">
        <x:v>PRG-100</x:v>
      </x:c>
      <x:c r="B7" s="26" t="str">
        <x:v>Power Restoration Group</x:v>
      </x:c>
      <x:c r="C7" s="26" t="str">
        <x:v>Power</x:v>
      </x:c>
      <x:c r="D7" s="27" t="n">
        <x:v>2</x:v>
      </x:c>
      <x:c r="E7" s="27" t="n">
        <x:v>2</x:v>
      </x:c>
      <x:c r="F7" s="27" t="n">
        <x:v>2</x:v>
      </x:c>
      <x:c r="G7" s="27" t="n">
        <x:v>3</x:v>
      </x:c>
      <x:c r="H7" s="27" t="n">
        <x:v>0</x:v>
      </x:c>
      <x:c r="I7" s="27" t="n">
        <x:v>2</x:v>
      </x:c>
      <x:c r="J7" s="27" t="n">
        <x:v>1</x:v>
      </x:c>
      <x:c r="K7" s="27" t="n">
        <x:v>0</x:v>
      </x:c>
      <x:c r="L7" s="27" t="n">
        <x:v>3</x:v>
      </x:c>
      <x:c r="M7" s="27" t="n">
        <x:v>3</x:v>
      </x:c>
      <x:c r="N7" s="26" t="n">
        <x:f>SUM(D7:M7)</x:f>
        <x:v>18</x:v>
      </x:c>
    </x:row>
    <x:row r="8">
      <x:c r="A8" s="26" t="str">
        <x:v>IIN</x:v>
      </x:c>
      <x:c r="B8" s="26" t="str">
        <x:v>Ignition Intercept Network</x:v>
      </x:c>
      <x:c r="C8" s="26" t="str">
        <x:v>Fire</x:v>
      </x:c>
      <x:c r="D8" s="27" t="n">
        <x:v>3</x:v>
      </x:c>
      <x:c r="E8" s="27" t="n">
        <x:v>3</x:v>
      </x:c>
      <x:c r="F8" s="27" t="n">
        <x:v>2</x:v>
      </x:c>
      <x:c r="G8" s="27" t="n">
        <x:v>2</x:v>
      </x:c>
      <x:c r="H8" s="27" t="n">
        <x:v>1</x:v>
      </x:c>
      <x:c r="I8" s="27" t="n">
        <x:v>1</x:v>
      </x:c>
      <x:c r="J8" s="27" t="n">
        <x:v>1</x:v>
      </x:c>
      <x:c r="K8" s="27" t="n">
        <x:v>0</x:v>
      </x:c>
      <x:c r="L8" s="27" t="n">
        <x:v>2</x:v>
      </x:c>
      <x:c r="M8" s="27" t="n">
        <x:v>3</x:v>
      </x:c>
      <x:c r="N8" s="26" t="n">
        <x:f>SUM(D8:M8)</x:f>
        <x:v>18</x:v>
      </x:c>
    </x:row>
    <x:row r="9">
      <x:c r="A9" s="26" t="str">
        <x:v>IFCG</x:v>
      </x:c>
      <x:c r="B9" s="26" t="str">
        <x:v>Integrated Fire Control Group</x:v>
      </x:c>
      <x:c r="C9" s="26" t="str">
        <x:v>Fire</x:v>
      </x:c>
      <x:c r="D9" s="27" t="n">
        <x:v>3</x:v>
      </x:c>
      <x:c r="E9" s="27" t="n">
        <x:v>3</x:v>
      </x:c>
      <x:c r="F9" s="27" t="n">
        <x:v>3</x:v>
      </x:c>
      <x:c r="G9" s="27" t="n">
        <x:v>3</x:v>
      </x:c>
      <x:c r="H9" s="27" t="n">
        <x:v>2</x:v>
      </x:c>
      <x:c r="I9" s="27" t="n">
        <x:v>2</x:v>
      </x:c>
      <x:c r="J9" s="27" t="n">
        <x:v>2</x:v>
      </x:c>
      <x:c r="K9" s="27" t="n">
        <x:v>0</x:v>
      </x:c>
      <x:c r="L9" s="27" t="n">
        <x:v>3</x:v>
      </x:c>
      <x:c r="M9" s="27" t="n">
        <x:v>3</x:v>
      </x:c>
      <x:c r="N9" s="26" t="n">
        <x:f>SUM(D9:M9)</x:f>
        <x:v>24</x:v>
      </x:c>
    </x:row>
    <x:row r="10">
      <x:c r="A10" s="26" t="str">
        <x:v>FIN</x:v>
      </x:c>
      <x:c r="B10" s="26" t="str">
        <x:v>Flood Intercept Network</x:v>
      </x:c>
      <x:c r="C10" s="26" t="str">
        <x:v>Flood</x:v>
      </x:c>
      <x:c r="D10" s="27" t="n">
        <x:v>3</x:v>
      </x:c>
      <x:c r="E10" s="27" t="n">
        <x:v>3</x:v>
      </x:c>
      <x:c r="F10" s="27" t="n">
        <x:v>2</x:v>
      </x:c>
      <x:c r="G10" s="27" t="n">
        <x:v>2</x:v>
      </x:c>
      <x:c r="H10" s="27" t="n">
        <x:v>1</x:v>
      </x:c>
      <x:c r="I10" s="27" t="n">
        <x:v>2</x:v>
      </x:c>
      <x:c r="J10" s="27" t="n">
        <x:v>2</x:v>
      </x:c>
      <x:c r="K10" s="27" t="n">
        <x:v>0</x:v>
      </x:c>
      <x:c r="L10" s="27" t="n">
        <x:v>2</x:v>
      </x:c>
      <x:c r="M10" s="27" t="n">
        <x:v>3</x:v>
      </x:c>
      <x:c r="N10" s="26" t="n">
        <x:f>SUM(D10:M10)</x:f>
        <x:v>20</x:v>
      </x:c>
    </x:row>
    <x:row r="11">
      <x:c r="A11" s="26" t="str">
        <x:v>HCG-100</x:v>
      </x:c>
      <x:c r="B11" s="26" t="str">
        <x:v>Hydraulic Control Group</x:v>
      </x:c>
      <x:c r="C11" s="26" t="str">
        <x:v>Flood</x:v>
      </x:c>
      <x:c r="D11" s="27" t="n">
        <x:v>3</x:v>
      </x:c>
      <x:c r="E11" s="27" t="n">
        <x:v>3</x:v>
      </x:c>
      <x:c r="F11" s="27" t="n">
        <x:v>3</x:v>
      </x:c>
      <x:c r="G11" s="27" t="n">
        <x:v>3</x:v>
      </x:c>
      <x:c r="H11" s="27" t="n">
        <x:v>2</x:v>
      </x:c>
      <x:c r="I11" s="27" t="n">
        <x:v>3</x:v>
      </x:c>
      <x:c r="J11" s="27" t="n">
        <x:v>3</x:v>
      </x:c>
      <x:c r="K11" s="27" t="n">
        <x:v>0</x:v>
      </x:c>
      <x:c r="L11" s="27" t="n">
        <x:v>3</x:v>
      </x:c>
      <x:c r="M11" s="27" t="n">
        <x:v>3</x:v>
      </x:c>
      <x:c r="N11" s="26" t="n">
        <x:f>SUM(D11:M11)</x:f>
        <x:v>26</x:v>
      </x:c>
    </x:row>
    <x:row r="12">
      <x:c r="A12" s="26" t="str">
        <x:v>N-WEP</x:v>
      </x:c>
      <x:c r="B12" s="26" t="str">
        <x:v>Nuclear Water-Energy Platform</x:v>
      </x:c>
      <x:c r="C12" s="26" t="str">
        <x:v>Water/Power</x:v>
      </x:c>
      <x:c r="D12" s="27" t="n">
        <x:v>3</x:v>
      </x:c>
      <x:c r="E12" s="27" t="n">
        <x:v>3</x:v>
      </x:c>
      <x:c r="F12" s="27" t="n">
        <x:v>2</x:v>
      </x:c>
      <x:c r="G12" s="27" t="n">
        <x:v>3</x:v>
      </x:c>
      <x:c r="H12" s="27" t="n">
        <x:v>3</x:v>
      </x:c>
      <x:c r="I12" s="27" t="n">
        <x:v>2</x:v>
      </x:c>
      <x:c r="J12" s="27" t="n">
        <x:v>2</x:v>
      </x:c>
      <x:c r="K12" s="27" t="n">
        <x:v>0</x:v>
      </x:c>
      <x:c r="L12" s="27" t="n">
        <x:v>3</x:v>
      </x:c>
      <x:c r="M12" s="27" t="n">
        <x:v>3</x:v>
      </x:c>
      <x:c r="N12" s="26" t="n">
        <x:f>SUM(D12:M12)</x:f>
        <x:v>24</x:v>
      </x:c>
    </x:row>
    <x:row r="13">
      <x:c r="A13" s="26" t="str">
        <x:v>MR-3</x:v>
      </x:c>
      <x:c r="B13" s="26" t="str">
        <x:v>Resilience Support Carrier</x:v>
      </x:c>
      <x:c r="C13" s="26" t="str">
        <x:v>Maritime</x:v>
      </x:c>
      <x:c r="D13" s="27" t="n">
        <x:v>2</x:v>
      </x:c>
      <x:c r="E13" s="27" t="n">
        <x:v>2</x:v>
      </x:c>
      <x:c r="F13" s="27" t="n">
        <x:v>2</x:v>
      </x:c>
      <x:c r="G13" s="27" t="n">
        <x:v>3</x:v>
      </x:c>
      <x:c r="H13" s="27" t="n">
        <x:v>2</x:v>
      </x:c>
      <x:c r="I13" s="27" t="n">
        <x:v>2</x:v>
      </x:c>
      <x:c r="J13" s="27" t="n">
        <x:v>2</x:v>
      </x:c>
      <x:c r="K13" s="27" t="n">
        <x:v>0</x:v>
      </x:c>
      <x:c r="L13" s="27" t="n">
        <x:v>3</x:v>
      </x:c>
      <x:c r="M13" s="27" t="n">
        <x:v>3</x:v>
      </x:c>
      <x:c r="N13" s="26" t="n">
        <x:f>SUM(D13:M13)</x:f>
        <x:v>21</x:v>
      </x:c>
    </x:row>
    <x:row r="14">
      <x:c r="A14" s="26" t="str">
        <x:v>MH-1</x:v>
      </x:c>
      <x:c r="B14" s="26" t="str">
        <x:v>Littoral Stabilization Ship</x:v>
      </x:c>
      <x:c r="C14" s="26" t="str">
        <x:v>Health/Maritime</x:v>
      </x:c>
      <x:c r="D14" s="27" t="n">
        <x:v>2</x:v>
      </x:c>
      <x:c r="E14" s="27" t="n">
        <x:v>2</x:v>
      </x:c>
      <x:c r="F14" s="27" t="n">
        <x:v>1</x:v>
      </x:c>
      <x:c r="G14" s="27" t="n">
        <x:v>3</x:v>
      </x:c>
      <x:c r="H14" s="27" t="n">
        <x:v>1</x:v>
      </x:c>
      <x:c r="I14" s="27" t="n">
        <x:v>2</x:v>
      </x:c>
      <x:c r="J14" s="27" t="n">
        <x:v>2</x:v>
      </x:c>
      <x:c r="K14" s="27" t="n">
        <x:v>2</x:v>
      </x:c>
      <x:c r="L14" s="27" t="n">
        <x:v>3</x:v>
      </x:c>
      <x:c r="M14" s="27" t="n">
        <x:v>3</x:v>
      </x:c>
      <x:c r="N14" s="26" t="n">
        <x:f>SUM(D14:M14)</x:f>
        <x:v>21</x:v>
      </x:c>
    </x:row>
    <x:row r="15">
      <x:c r="A15" s="26" t="str">
        <x:v>MH-2</x:v>
      </x:c>
      <x:c r="B15" s="26" t="str">
        <x:v>Regional Clinical Support Ship</x:v>
      </x:c>
      <x:c r="C15" s="26" t="str">
        <x:v>Health/Maritime</x:v>
      </x:c>
      <x:c r="D15" s="27" t="n">
        <x:v>2</x:v>
      </x:c>
      <x:c r="E15" s="27" t="n">
        <x:v>3</x:v>
      </x:c>
      <x:c r="F15" s="27" t="n">
        <x:v>1</x:v>
      </x:c>
      <x:c r="G15" s="27" t="n">
        <x:v>3</x:v>
      </x:c>
      <x:c r="H15" s="27" t="n">
        <x:v>1</x:v>
      </x:c>
      <x:c r="I15" s="27" t="n">
        <x:v>2</x:v>
      </x:c>
      <x:c r="J15" s="27" t="n">
        <x:v>2</x:v>
      </x:c>
      <x:c r="K15" s="27" t="n">
        <x:v>2</x:v>
      </x:c>
      <x:c r="L15" s="27" t="n">
        <x:v>3</x:v>
      </x:c>
      <x:c r="M15" s="27" t="n">
        <x:v>3</x:v>
      </x:c>
      <x:c r="N15" s="26" t="n">
        <x:f>SUM(D15:M15)</x:f>
        <x:v>22</x:v>
      </x:c>
    </x:row>
    <x:row r="16">
      <x:c r="A16" s="26" t="str">
        <x:v>MH-3</x:v>
      </x:c>
      <x:c r="B16" s="26" t="str">
        <x:v>Strategic Health Support Platform</x:v>
      </x:c>
      <x:c r="C16" s="26" t="str">
        <x:v>Health/Maritime</x:v>
      </x:c>
      <x:c r="D16" s="27" t="n">
        <x:v>3</x:v>
      </x:c>
      <x:c r="E16" s="27" t="n">
        <x:v>3</x:v>
      </x:c>
      <x:c r="F16" s="27" t="n">
        <x:v>2</x:v>
      </x:c>
      <x:c r="G16" s="27" t="n">
        <x:v>3</x:v>
      </x:c>
      <x:c r="H16" s="27" t="n">
        <x:v>2</x:v>
      </x:c>
      <x:c r="I16" s="27" t="n">
        <x:v>2</x:v>
      </x:c>
      <x:c r="J16" s="27" t="n">
        <x:v>2</x:v>
      </x:c>
      <x:c r="K16" s="27" t="n">
        <x:v>3</x:v>
      </x:c>
      <x:c r="L16" s="27" t="n">
        <x:v>3</x:v>
      </x:c>
      <x:c r="M16" s="27" t="n">
        <x:v>3</x:v>
      </x:c>
      <x:c r="N16" s="26" t="n">
        <x:f>SUM(D16:M16)</x:f>
        <x:v>26</x:v>
      </x:c>
    </x:row>
    <x:row r="17">
      <x:c r="A17" s="26" t="str">
        <x:v>AM-2</x:v>
      </x:c>
      <x:c r="B17" s="26" t="str">
        <x:v>Short-Field Disaster Airlifter</x:v>
      </x:c>
      <x:c r="C17" s="26" t="str">
        <x:v>Air Mobility</x:v>
      </x:c>
      <x:c r="D17" s="27" t="n">
        <x:v>2</x:v>
      </x:c>
      <x:c r="E17" s="27" t="n">
        <x:v>2</x:v>
      </x:c>
      <x:c r="F17" s="27" t="n">
        <x:v>2</x:v>
      </x:c>
      <x:c r="G17" s="27" t="n">
        <x:v>2</x:v>
      </x:c>
      <x:c r="H17" s="27" t="n">
        <x:v>0</x:v>
      </x:c>
      <x:c r="I17" s="27" t="n">
        <x:v>2</x:v>
      </x:c>
      <x:c r="J17" s="27" t="n">
        <x:v>2</x:v>
      </x:c>
      <x:c r="K17" s="27" t="n">
        <x:v>0</x:v>
      </x:c>
      <x:c r="L17" s="27" t="n">
        <x:v>3</x:v>
      </x:c>
      <x:c r="M17" s="27" t="n">
        <x:v>3</x:v>
      </x:c>
      <x:c r="N17" s="26" t="n">
        <x:f>SUM(D17:M17)</x:f>
        <x:v>18</x:v>
      </x:c>
    </x:row>
    <x:row r="18">
      <x:c r="A18" s="26" t="str">
        <x:v>AM-3</x:v>
      </x:c>
      <x:c r="B18" s="26" t="str">
        <x:v>Vertical Access Family</x:v>
      </x:c>
      <x:c r="C18" s="26" t="str">
        <x:v>Air Mobility</x:v>
      </x:c>
      <x:c r="D18" s="27" t="n">
        <x:v>2</x:v>
      </x:c>
      <x:c r="E18" s="27" t="n">
        <x:v>2</x:v>
      </x:c>
      <x:c r="F18" s="27" t="n">
        <x:v>2</x:v>
      </x:c>
      <x:c r="G18" s="27" t="n">
        <x:v>2</x:v>
      </x:c>
      <x:c r="H18" s="27" t="n">
        <x:v>0</x:v>
      </x:c>
      <x:c r="I18" s="27" t="n">
        <x:v>2</x:v>
      </x:c>
      <x:c r="J18" s="27" t="n">
        <x:v>2</x:v>
      </x:c>
      <x:c r="K18" s="27" t="n">
        <x:v>0</x:v>
      </x:c>
      <x:c r="L18" s="27" t="n">
        <x:v>3</x:v>
      </x:c>
      <x:c r="M18" s="27" t="n">
        <x:v>3</x:v>
      </x:c>
      <x:c r="N18" s="26" t="n">
        <x:f>SUM(D18:M18)</x:f>
        <x:v>18</x:v>
      </x:c>
    </x:row>
    <x:row r="19">
      <x:c r="A19" s="26" t="str">
        <x:v>FA-2</x:v>
      </x:c>
      <x:c r="B19" s="26" t="str">
        <x:v>Rapid Attack Aircraft</x:v>
      </x:c>
      <x:c r="C19" s="26" t="str">
        <x:v>Fire Aviation</x:v>
      </x:c>
      <x:c r="D19" s="27" t="n">
        <x:v>3</x:v>
      </x:c>
      <x:c r="E19" s="27" t="n">
        <x:v>3</x:v>
      </x:c>
      <x:c r="F19" s="27" t="n">
        <x:v>2</x:v>
      </x:c>
      <x:c r="G19" s="27" t="n">
        <x:v>2</x:v>
      </x:c>
      <x:c r="H19" s="27" t="n">
        <x:v>1</x:v>
      </x:c>
      <x:c r="I19" s="27" t="n">
        <x:v>1</x:v>
      </x:c>
      <x:c r="J19" s="27" t="n">
        <x:v>2</x:v>
      </x:c>
      <x:c r="K19" s="27" t="n">
        <x:v>0</x:v>
      </x:c>
      <x:c r="L19" s="27" t="n">
        <x:v>3</x:v>
      </x:c>
      <x:c r="M19" s="27" t="n">
        <x:v>3</x:v>
      </x:c>
      <x:c r="N19" s="26" t="n">
        <x:f>SUM(D19:M19)</x:f>
        <x:v>20</x:v>
      </x:c>
    </x:row>
    <x:row r="20">
      <x:c r="A20" s="26" t="str">
        <x:v>FA-3</x:v>
      </x:c>
      <x:c r="B20" s="26" t="str">
        <x:v>Regional Amphibious Suppressor</x:v>
      </x:c>
      <x:c r="C20" s="26" t="str">
        <x:v>Fire Aviation</x:v>
      </x:c>
      <x:c r="D20" s="27" t="n">
        <x:v>3</x:v>
      </x:c>
      <x:c r="E20" s="27" t="n">
        <x:v>3</x:v>
      </x:c>
      <x:c r="F20" s="27" t="n">
        <x:v>2</x:v>
      </x:c>
      <x:c r="G20" s="27" t="n">
        <x:v>2</x:v>
      </x:c>
      <x:c r="H20" s="27" t="n">
        <x:v>1</x:v>
      </x:c>
      <x:c r="I20" s="27" t="n">
        <x:v>1</x:v>
      </x:c>
      <x:c r="J20" s="27" t="n">
        <x:v>2</x:v>
      </x:c>
      <x:c r="K20" s="27" t="n">
        <x:v>0</x:v>
      </x:c>
      <x:c r="L20" s="27" t="n">
        <x:v>3</x:v>
      </x:c>
      <x:c r="M20" s="27" t="n">
        <x:v>3</x:v>
      </x:c>
      <x:c r="N20" s="26" t="n">
        <x:f>SUM(D20:M20)</x:f>
        <x:v>20</x:v>
      </x:c>
    </x:row>
    <x:row r="21">
      <x:c r="A21" s="26" t="str">
        <x:v>FA-4</x:v>
      </x:c>
      <x:c r="B21" s="26" t="str">
        <x:v>Heavy Line Builder</x:v>
      </x:c>
      <x:c r="C21" s="26" t="str">
        <x:v>Fire Aviation</x:v>
      </x:c>
      <x:c r="D21" s="27" t="n">
        <x:v>3</x:v>
      </x:c>
      <x:c r="E21" s="27" t="n">
        <x:v>3</x:v>
      </x:c>
      <x:c r="F21" s="27" t="n">
        <x:v>2</x:v>
      </x:c>
      <x:c r="G21" s="27" t="n">
        <x:v>2</x:v>
      </x:c>
      <x:c r="H21" s="27" t="n">
        <x:v>1</x:v>
      </x:c>
      <x:c r="I21" s="27" t="n">
        <x:v>1</x:v>
      </x:c>
      <x:c r="J21" s="27" t="n">
        <x:v>2</x:v>
      </x:c>
      <x:c r="K21" s="27" t="n">
        <x:v>0</x:v>
      </x:c>
      <x:c r="L21" s="27" t="n">
        <x:v>3</x:v>
      </x:c>
      <x:c r="M21" s="27" t="n">
        <x:v>3</x:v>
      </x:c>
      <x:c r="N21" s="26" t="n">
        <x:f>SUM(D21:M21)</x:f>
        <x:v>20</x:v>
      </x:c>
    </x:row>
    <x:row r="22">
      <x:c r="A22" s="26" t="str">
        <x:v>C-2</x:v>
      </x:c>
      <x:c r="B22" s="26" t="str">
        <x:v>Incident Network Node</x:v>
      </x:c>
      <x:c r="C22" s="26" t="str">
        <x:v>Communications</x:v>
      </x:c>
      <x:c r="D22" s="27" t="n">
        <x:v>2</x:v>
      </x:c>
      <x:c r="E22" s="27" t="n">
        <x:v>2</x:v>
      </x:c>
      <x:c r="F22" s="27" t="n">
        <x:v>1</x:v>
      </x:c>
      <x:c r="G22" s="27" t="n">
        <x:v>3</x:v>
      </x:c>
      <x:c r="H22" s="27" t="n">
        <x:v>0</x:v>
      </x:c>
      <x:c r="I22" s="27" t="n">
        <x:v>1</x:v>
      </x:c>
      <x:c r="J22" s="27" t="n">
        <x:v>0</x:v>
      </x:c>
      <x:c r="K22" s="27" t="n">
        <x:v>0</x:v>
      </x:c>
      <x:c r="L22" s="27" t="n">
        <x:v>2</x:v>
      </x:c>
      <x:c r="M22" s="27" t="n">
        <x:v>3</x:v>
      </x:c>
      <x:c r="N22" s="26" t="n">
        <x:f>SUM(D22:M22)</x:f>
        <x:v>14</x:v>
      </x:c>
    </x:row>
    <x:row r="23">
      <x:c r="A23" s="26" t="str">
        <x:v>C-3</x:v>
      </x:c>
      <x:c r="B23" s="26" t="str">
        <x:v>Airborne Coverage and Relay</x:v>
      </x:c>
      <x:c r="C23" s="26" t="str">
        <x:v>Communications</x:v>
      </x:c>
      <x:c r="D23" s="27" t="n">
        <x:v>2</x:v>
      </x:c>
      <x:c r="E23" s="27" t="n">
        <x:v>2</x:v>
      </x:c>
      <x:c r="F23" s="27" t="n">
        <x:v>2</x:v>
      </x:c>
      <x:c r="G23" s="27" t="n">
        <x:v>3</x:v>
      </x:c>
      <x:c r="H23" s="27" t="n">
        <x:v>0</x:v>
      </x:c>
      <x:c r="I23" s="27" t="n">
        <x:v>1</x:v>
      </x:c>
      <x:c r="J23" s="27" t="n">
        <x:v>0</x:v>
      </x:c>
      <x:c r="K23" s="27" t="n">
        <x:v>0</x:v>
      </x:c>
      <x:c r="L23" s="27" t="n">
        <x:v>2</x:v>
      </x:c>
      <x:c r="M23" s="27" t="n">
        <x:v>3</x:v>
      </x:c>
      <x:c r="N23" s="26" t="n">
        <x:f>SUM(D23:M23)</x:f>
        <x:v>15</x:v>
      </x:c>
    </x:row>
    <x:row r="24">
      <x:c r="A24" s="26" t="str">
        <x:v>C-4</x:v>
      </x:c>
      <x:c r="B24" s="26" t="str">
        <x:v>Strategic Backhaul and Emergency Cloud</x:v>
      </x:c>
      <x:c r="C24" s="26" t="str">
        <x:v>Communications</x:v>
      </x:c>
      <x:c r="D24" s="27" t="n">
        <x:v>3</x:v>
      </x:c>
      <x:c r="E24" s="27" t="n">
        <x:v>3</x:v>
      </x:c>
      <x:c r="F24" s="27" t="n">
        <x:v>1</x:v>
      </x:c>
      <x:c r="G24" s="27" t="n">
        <x:v>3</x:v>
      </x:c>
      <x:c r="H24" s="27" t="n">
        <x:v>0</x:v>
      </x:c>
      <x:c r="I24" s="27" t="n">
        <x:v>1</x:v>
      </x:c>
      <x:c r="J24" s="27" t="n">
        <x:v>0</x:v>
      </x:c>
      <x:c r="K24" s="27" t="n">
        <x:v>0</x:v>
      </x:c>
      <x:c r="L24" s="27" t="n">
        <x:v>3</x:v>
      </x:c>
      <x:c r="M24" s="27" t="n">
        <x:v>3</x:v>
      </x:c>
      <x:c r="N24" s="26" t="n">
        <x:f>SUM(D24:M24)</x:f>
        <x:v>17</x:v>
      </x:c>
    </x:row>
    <x:row r="25">
      <x:c r="A25" s="26" t="str">
        <x:v>EW-2</x:v>
      </x:c>
      <x:c r="B25" s="26" t="str">
        <x:v>Common Autonomous Work Machine</x:v>
      </x:c>
      <x:c r="C25" s="26" t="str">
        <x:v>Public Works</x:v>
      </x:c>
      <x:c r="D25" s="27" t="n">
        <x:v>2</x:v>
      </x:c>
      <x:c r="E25" s="27" t="n">
        <x:v>2</x:v>
      </x:c>
      <x:c r="F25" s="27" t="n">
        <x:v>3</x:v>
      </x:c>
      <x:c r="G25" s="27" t="n">
        <x:v>3</x:v>
      </x:c>
      <x:c r="H25" s="27" t="n">
        <x:v>0</x:v>
      </x:c>
      <x:c r="I25" s="27" t="n">
        <x:v>3</x:v>
      </x:c>
      <x:c r="J25" s="27" t="n">
        <x:v>3</x:v>
      </x:c>
      <x:c r="K25" s="27" t="n">
        <x:v>0</x:v>
      </x:c>
      <x:c r="L25" s="27" t="n">
        <x:v>3</x:v>
      </x:c>
      <x:c r="M25" s="27" t="n">
        <x:v>3</x:v>
      </x:c>
      <x:c r="N25" s="26" t="n">
        <x:f>SUM(D25:M25)</x:f>
        <x:v>22</x:v>
      </x:c>
    </x:row>
    <x:row r="26">
      <x:c r="A26" s="26" t="str">
        <x:v>EW-3</x:v>
      </x:c>
      <x:c r="B26" s="26" t="str">
        <x:v>Debris Processing Line</x:v>
      </x:c>
      <x:c r="C26" s="26" t="str">
        <x:v>Public Works</x:v>
      </x:c>
      <x:c r="D26" s="27" t="n">
        <x:v>2</x:v>
      </x:c>
      <x:c r="E26" s="27" t="n">
        <x:v>2</x:v>
      </x:c>
      <x:c r="F26" s="27" t="n">
        <x:v>2</x:v>
      </x:c>
      <x:c r="G26" s="27" t="n">
        <x:v>3</x:v>
      </x:c>
      <x:c r="H26" s="27" t="n">
        <x:v>2</x:v>
      </x:c>
      <x:c r="I26" s="27" t="n">
        <x:v>3</x:v>
      </x:c>
      <x:c r="J26" s="27" t="n">
        <x:v>2</x:v>
      </x:c>
      <x:c r="K26" s="27" t="n">
        <x:v>0</x:v>
      </x:c>
      <x:c r="L26" s="27" t="n">
        <x:v>3</x:v>
      </x:c>
      <x:c r="M26" s="27" t="n">
        <x:v>3</x:v>
      </x:c>
      <x:c r="N26" s="26" t="n">
        <x:f>SUM(D26:M26)</x:f>
        <x:v>22</x:v>
      </x:c>
    </x:row>
    <x:row r="27">
      <x:c r="A27" s="26" t="str">
        <x:v>EW-4</x:v>
      </x:c>
      <x:c r="B27" s="26" t="str">
        <x:v>Rapid Utility Corridor</x:v>
      </x:c>
      <x:c r="C27" s="26" t="str">
        <x:v>Public Works</x:v>
      </x:c>
      <x:c r="D27" s="27" t="n">
        <x:v>2</x:v>
      </x:c>
      <x:c r="E27" s="27" t="n">
        <x:v>2</x:v>
      </x:c>
      <x:c r="F27" s="27" t="n">
        <x:v>3</x:v>
      </x:c>
      <x:c r="G27" s="27" t="n">
        <x:v>3</x:v>
      </x:c>
      <x:c r="H27" s="27" t="n">
        <x:v>1</x:v>
      </x:c>
      <x:c r="I27" s="27" t="n">
        <x:v>3</x:v>
      </x:c>
      <x:c r="J27" s="27" t="n">
        <x:v>3</x:v>
      </x:c>
      <x:c r="K27" s="27" t="n">
        <x:v>0</x:v>
      </x:c>
      <x:c r="L27" s="27" t="n">
        <x:v>3</x:v>
      </x:c>
      <x:c r="M27" s="27" t="n">
        <x:v>3</x:v>
      </x:c>
      <x:c r="N27" s="26" t="n">
        <x:f>SUM(D27:M27)</x:f>
        <x:v>23</x:v>
      </x:c>
    </x:row>
    <x:row r="28">
      <x:c r="A28" s="26" t="str">
        <x:v>BR-2</x:v>
      </x:c>
      <x:c r="B28" s="26" t="str">
        <x:v>Heavy Modular Bridge</x:v>
      </x:c>
      <x:c r="C28" s="26" t="str">
        <x:v>Access</x:v>
      </x:c>
      <x:c r="D28" s="27" t="n">
        <x:v>2</x:v>
      </x:c>
      <x:c r="E28" s="27" t="n">
        <x:v>2</x:v>
      </x:c>
      <x:c r="F28" s="27" t="n">
        <x:v>1</x:v>
      </x:c>
      <x:c r="G28" s="27" t="n">
        <x:v>1</x:v>
      </x:c>
      <x:c r="H28" s="27" t="n">
        <x:v>0</x:v>
      </x:c>
      <x:c r="I28" s="27" t="n">
        <x:v>3</x:v>
      </x:c>
      <x:c r="J28" s="27" t="n">
        <x:v>3</x:v>
      </x:c>
      <x:c r="K28" s="27" t="n">
        <x:v>0</x:v>
      </x:c>
      <x:c r="L28" s="27" t="n">
        <x:v>3</x:v>
      </x:c>
      <x:c r="M28" s="27" t="n">
        <x:v>2</x:v>
      </x:c>
      <x:c r="N28" s="26" t="n">
        <x:f>SUM(D28:M28)</x:f>
        <x:v>17</x:v>
      </x:c>
    </x:row>
    <x:row r="29">
      <x:c r="A29" s="26" t="str">
        <x:v>HM-3</x:v>
      </x:c>
      <x:c r="B29" s="26" t="str">
        <x:v>Modular Theater Hospital</x:v>
      </x:c>
      <x:c r="C29" s="26" t="str">
        <x:v>Health</x:v>
      </x:c>
      <x:c r="D29" s="27" t="n">
        <x:v>3</x:v>
      </x:c>
      <x:c r="E29" s="27" t="n">
        <x:v>3</x:v>
      </x:c>
      <x:c r="F29" s="27" t="n">
        <x:v>1</x:v>
      </x:c>
      <x:c r="G29" s="27" t="n">
        <x:v>3</x:v>
      </x:c>
      <x:c r="H29" s="27" t="n">
        <x:v>2</x:v>
      </x:c>
      <x:c r="I29" s="27" t="n">
        <x:v>2</x:v>
      </x:c>
      <x:c r="J29" s="27" t="n">
        <x:v>1</x:v>
      </x:c>
      <x:c r="K29" s="27" t="n">
        <x:v>2</x:v>
      </x:c>
      <x:c r="L29" s="27" t="n">
        <x:v>3</x:v>
      </x:c>
      <x:c r="M29" s="27" t="n">
        <x:v>3</x:v>
      </x:c>
      <x:c r="N29" s="26" t="n">
        <x:f>SUM(D29:M29)</x:f>
        <x:v>23</x:v>
      </x:c>
    </x:row>
    <x:row r="30">
      <x:c r="A30" s="26" t="str">
        <x:v>R-4</x:v>
      </x:c>
      <x:c r="B30" s="26" t="str">
        <x:v>Utility Inspection and Repair Robot</x:v>
      </x:c>
      <x:c r="C30" s="26" t="str">
        <x:v>Robotics</x:v>
      </x:c>
      <x:c r="D30" s="27" t="n">
        <x:v>3</x:v>
      </x:c>
      <x:c r="E30" s="27" t="n">
        <x:v>3</x:v>
      </x:c>
      <x:c r="F30" s="27" t="n">
        <x:v>3</x:v>
      </x:c>
      <x:c r="G30" s="27" t="n">
        <x:v>2</x:v>
      </x:c>
      <x:c r="H30" s="27" t="n">
        <x:v>0</x:v>
      </x:c>
      <x:c r="I30" s="27" t="n">
        <x:v>2</x:v>
      </x:c>
      <x:c r="J30" s="27" t="n">
        <x:v>2</x:v>
      </x:c>
      <x:c r="K30" s="27" t="n">
        <x:v>0</x:v>
      </x:c>
      <x:c r="L30" s="27" t="n">
        <x:v>3</x:v>
      </x:c>
      <x:c r="M30" s="27" t="n">
        <x:v>3</x:v>
      </x:c>
      <x:c r="N30" s="26" t="n">
        <x:f>SUM(D30:M30)</x:f>
        <x:v>21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18" hidden="0" customWidth="1"/>
    <x:col min="7" max="7" width="14" hidden="0" customWidth="1"/>
    <x:col min="8" max="8" width="18" hidden="0" customWidth="1"/>
    <x:col min="9" max="9" width="17" hidden="0" customWidth="1"/>
    <x:col min="10" max="10" width="34" hidden="0" customWidth="1"/>
  </x:cols>
  <x:sheetData>
    <x:row r="1">
      <x:c r="A1" s="49" t="str">
        <x:v>Architecture conformance results</x:v>
      </x:c>
      <x:c r="B1" s="46"/>
      <x:c r="C1" s="46"/>
      <x:c r="D1" s="46"/>
      <x:c r="E1" s="46"/>
      <x:c r="F1" s="46"/>
      <x:c r="G1" s="46"/>
      <x:c r="H1" s="46"/>
      <x:c r="I1" s="46"/>
      <x:c r="J1" s="46"/>
    </x:row>
    <x:row r="2">
      <x:c r="A2" s="47" t="str">
        <x:v>Current closure is formula-driven from primitive maturity and system role. It does not establish physics, safety or operational readiness.</x:v>
      </x:c>
      <x:c r="B2" s="47"/>
      <x:c r="C2" s="47"/>
      <x:c r="D2" s="47"/>
      <x:c r="E2" s="47"/>
      <x:c r="F2" s="47"/>
      <x:c r="G2" s="47"/>
      <x:c r="H2" s="47"/>
      <x:c r="I2" s="47"/>
      <x:c r="J2" s="47"/>
    </x:row>
    <x:row r="3" ht="3" customHeight="1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3"/>
      <x:c r="L3" s="3"/>
      <x:c r="M3" s="3"/>
      <x:c r="N3" s="3"/>
    </x:row>
    <x:row r="4">
      <x:c r="A4" s="26"/>
      <x:c r="B4" s="26"/>
      <x:c r="C4" s="26"/>
      <x:c r="D4" s="26"/>
      <x:c r="E4" s="26"/>
      <x:c r="F4" s="26"/>
      <x:c r="G4" s="26"/>
      <x:c r="H4" s="26"/>
      <x:c r="I4" s="26"/>
      <x:c r="J4" s="26"/>
    </x:row>
    <x:row r="5">
      <x:c r="A5" s="25" t="str">
        <x:v>ID</x:v>
      </x:c>
      <x:c r="B5" s="25" t="str">
        <x:v>System</x:v>
      </x:c>
      <x:c r="C5" s="25" t="str">
        <x:v>Required domains</x:v>
      </x:c>
      <x:c r="D5" s="25" t="str">
        <x:v>Unclosed domains</x:v>
      </x:c>
      <x:c r="E5" s="25" t="str">
        <x:v>Weighted closure</x:v>
      </x:c>
      <x:c r="F5" s="25" t="str">
        <x:v>Rendering state</x:v>
      </x:c>
      <x:c r="G5" s="25" t="str">
        <x:v>Project R</x:v>
      </x:c>
      <x:c r="H5" s="25" t="str">
        <x:v>Action class</x:v>
      </x:c>
      <x:c r="I5" s="25" t="str">
        <x:v>Offline mode</x:v>
      </x:c>
      <x:c r="J5" s="25" t="str">
        <x:v>Next decision</x:v>
      </x:c>
    </x:row>
    <x:row r="6">
      <x:c r="A6" s="26" t="str">
        <x:v>WRG-50</x:v>
      </x:c>
      <x:c r="B6" s="26" t="str">
        <x:v>Regional Water Restoration Group</x:v>
      </x:c>
      <x:c r="C6" s="26" t="n">
        <x:f>COUNTIF('Requirement Matrix'!D6:M6,"&gt;0")</x:f>
        <x:v>9</x:v>
      </x:c>
      <x:c r="D6" s="26" t="n">
        <x:f>IF('Requirement Matrix'!D6&gt;0,IF('Architecture Investment'!D6&lt;Controls!$B$9,1,0),0)+IF('Requirement Matrix'!E6&gt;0,IF('Architecture Investment'!D7&lt;Controls!$B$9,1,0),0)+IF('Requirement Matrix'!F6&gt;0,IF('Architecture Investment'!D8&lt;Controls!$B$9,1,0),0)+IF('Requirement Matrix'!G6&gt;0,IF('Architecture Investment'!D9&lt;Controls!$B$9,1,0),0)+IF('Requirement Matrix'!H6&gt;0,IF('Architecture Investment'!D10&lt;Controls!$B$9,1,0),0)+IF('Requirement Matrix'!I6&gt;0,IF('Architecture Investment'!D11&lt;Controls!$B$9,1,0),0)+IF('Requirement Matrix'!J6&gt;0,IF('Architecture Investment'!D12&lt;Controls!$B$9,1,0),0)+IF('Requirement Matrix'!K6&gt;0,IF('Architecture Investment'!D13&lt;Controls!$B$9,1,0),0)+IF('Requirement Matrix'!L6&gt;0,IF('Architecture Investment'!D14&lt;Controls!$B$9,1,0),0)+IF('Requirement Matrix'!M6&gt;0,IF('Architecture Investment'!D15&lt;Controls!$B$9,1,0),0)</x:f>
        <x:v>9</x:v>
      </x:c>
      <x:c r="E6" s="38" t="n">
        <x:f>('Requirement Matrix'!D6*'Architecture Investment'!D6+'Requirement Matrix'!E6*'Architecture Investment'!D7+'Requirement Matrix'!F6*'Architecture Investment'!D8+'Requirement Matrix'!G6*'Architecture Investment'!D9+'Requirement Matrix'!H6*'Architecture Investment'!D10+'Requirement Matrix'!I6*'Architecture Investment'!D11+'Requirement Matrix'!J6*'Architecture Investment'!D12+'Requirement Matrix'!K6*'Architecture Investment'!D13+'Requirement Matrix'!L6*'Architecture Investment'!D14+'Requirement Matrix'!M6*'Architecture Investment'!D15)/(Controls!$B$9*'Requirement Matrix'!N6)</x:f>
        <x:v>0.21052631578947367</x:v>
      </x:c>
      <x:c r="F6" s="26" t="str">
        <x:f>IF(AND(D6=0,E6&gt;=Controls!$B$10,G6&gt;=3),"ELIGIBLE","BLOCKED")</x:f>
        <x:v>BLOCKED</x:v>
      </x:c>
      <x:c r="G6" s="26" t="n">
        <x:v>2.5</x:v>
      </x:c>
      <x:c r="H6" s="26" t="str">
        <x:v>A3</x:v>
      </x:c>
      <x:c r="I6" s="26" t="str">
        <x:v>D3</x:v>
      </x:c>
      <x:c r="J6" s="26" t="str">
        <x:f>IF(G6&lt;3,"Close project physics",IF(D6&gt;0,"Close primitive evidence",IF(E6&lt;Controls!$B$10,"Raise weighted closure","Independent rendering review")))</x:f>
        <x:v>Close project physics</x:v>
      </x:c>
    </x:row>
    <x:row r="7">
      <x:c r="A7" s="26" t="str">
        <x:v>PRG-100</x:v>
      </x:c>
      <x:c r="B7" s="26" t="str">
        <x:v>Power Restoration Group</x:v>
      </x:c>
      <x:c r="C7" s="26" t="n">
        <x:f>COUNTIF('Requirement Matrix'!D7:M7,"&gt;0")</x:f>
        <x:v>8</x:v>
      </x:c>
      <x:c r="D7" s="26" t="n">
        <x:f>IF('Requirement Matrix'!D7&gt;0,IF('Architecture Investment'!D6&lt;Controls!$B$9,1,0),0)+IF('Requirement Matrix'!E7&gt;0,IF('Architecture Investment'!D7&lt;Controls!$B$9,1,0),0)+IF('Requirement Matrix'!F7&gt;0,IF('Architecture Investment'!D8&lt;Controls!$B$9,1,0),0)+IF('Requirement Matrix'!G7&gt;0,IF('Architecture Investment'!D9&lt;Controls!$B$9,1,0),0)+IF('Requirement Matrix'!H7&gt;0,IF('Architecture Investment'!D10&lt;Controls!$B$9,1,0),0)+IF('Requirement Matrix'!I7&gt;0,IF('Architecture Investment'!D11&lt;Controls!$B$9,1,0),0)+IF('Requirement Matrix'!J7&gt;0,IF('Architecture Investment'!D12&lt;Controls!$B$9,1,0),0)+IF('Requirement Matrix'!K7&gt;0,IF('Architecture Investment'!D13&lt;Controls!$B$9,1,0),0)+IF('Requirement Matrix'!L7&gt;0,IF('Architecture Investment'!D14&lt;Controls!$B$9,1,0),0)+IF('Requirement Matrix'!M7&gt;0,IF('Architecture Investment'!D15&lt;Controls!$B$9,1,0),0)</x:f>
        <x:v>8</x:v>
      </x:c>
      <x:c r="E7" s="38" t="n">
        <x:f>('Requirement Matrix'!D7*'Architecture Investment'!D6+'Requirement Matrix'!E7*'Architecture Investment'!D7+'Requirement Matrix'!F7*'Architecture Investment'!D8+'Requirement Matrix'!G7*'Architecture Investment'!D9+'Requirement Matrix'!H7*'Architecture Investment'!D10+'Requirement Matrix'!I7*'Architecture Investment'!D11+'Requirement Matrix'!J7*'Architecture Investment'!D12+'Requirement Matrix'!K7*'Architecture Investment'!D13+'Requirement Matrix'!L7*'Architecture Investment'!D14+'Requirement Matrix'!M7*'Architecture Investment'!D15)/(Controls!$B$9*'Requirement Matrix'!N7)</x:f>
        <x:v>0.24074074074074073</x:v>
      </x:c>
      <x:c r="F7" s="26" t="str">
        <x:f>IF(AND(D7=0,E7&gt;=Controls!$B$10,G7&gt;=3),"ELIGIBLE","BLOCKED")</x:f>
        <x:v>BLOCKED</x:v>
      </x:c>
      <x:c r="G7" s="26" t="n">
        <x:v>2.5</x:v>
      </x:c>
      <x:c r="H7" s="26" t="str">
        <x:v>A3</x:v>
      </x:c>
      <x:c r="I7" s="26" t="str">
        <x:v>D3</x:v>
      </x:c>
      <x:c r="J7" s="26" t="str">
        <x:f>IF(G7&lt;3,"Close project physics",IF(D7&gt;0,"Close primitive evidence",IF(E7&lt;Controls!$B$10,"Raise weighted closure","Independent rendering review")))</x:f>
        <x:v>Close project physics</x:v>
      </x:c>
    </x:row>
    <x:row r="8">
      <x:c r="A8" s="26" t="str">
        <x:v>IIN</x:v>
      </x:c>
      <x:c r="B8" s="26" t="str">
        <x:v>Ignition Intercept Network</x:v>
      </x:c>
      <x:c r="C8" s="26" t="n">
        <x:f>COUNTIF('Requirement Matrix'!D8:M8,"&gt;0")</x:f>
        <x:v>9</x:v>
      </x:c>
      <x:c r="D8" s="26" t="n">
        <x:f>IF('Requirement Matrix'!D8&gt;0,IF('Architecture Investment'!D6&lt;Controls!$B$9,1,0),0)+IF('Requirement Matrix'!E8&gt;0,IF('Architecture Investment'!D7&lt;Controls!$B$9,1,0),0)+IF('Requirement Matrix'!F8&gt;0,IF('Architecture Investment'!D8&lt;Controls!$B$9,1,0),0)+IF('Requirement Matrix'!G8&gt;0,IF('Architecture Investment'!D9&lt;Controls!$B$9,1,0),0)+IF('Requirement Matrix'!H8&gt;0,IF('Architecture Investment'!D10&lt;Controls!$B$9,1,0),0)+IF('Requirement Matrix'!I8&gt;0,IF('Architecture Investment'!D11&lt;Controls!$B$9,1,0),0)+IF('Requirement Matrix'!J8&gt;0,IF('Architecture Investment'!D12&lt;Controls!$B$9,1,0),0)+IF('Requirement Matrix'!K8&gt;0,IF('Architecture Investment'!D13&lt;Controls!$B$9,1,0),0)+IF('Requirement Matrix'!L8&gt;0,IF('Architecture Investment'!D14&lt;Controls!$B$9,1,0),0)+IF('Requirement Matrix'!M8&gt;0,IF('Architecture Investment'!D15&lt;Controls!$B$9,1,0),0)</x:f>
        <x:v>9</x:v>
      </x:c>
      <x:c r="E8" s="38" t="n">
        <x:f>('Requirement Matrix'!D8*'Architecture Investment'!D6+'Requirement Matrix'!E8*'Architecture Investment'!D7+'Requirement Matrix'!F8*'Architecture Investment'!D8+'Requirement Matrix'!G8*'Architecture Investment'!D9+'Requirement Matrix'!H8*'Architecture Investment'!D10+'Requirement Matrix'!I8*'Architecture Investment'!D11+'Requirement Matrix'!J8*'Architecture Investment'!D12+'Requirement Matrix'!K8*'Architecture Investment'!D13+'Requirement Matrix'!L8*'Architecture Investment'!D14+'Requirement Matrix'!M8*'Architecture Investment'!D15)/(Controls!$B$9*'Requirement Matrix'!N8)</x:f>
        <x:v>0.24074074074074073</x:v>
      </x:c>
      <x:c r="F8" s="26" t="str">
        <x:f>IF(AND(D8=0,E8&gt;=Controls!$B$10,G8&gt;=3),"ELIGIBLE","BLOCKED")</x:f>
        <x:v>BLOCKED</x:v>
      </x:c>
      <x:c r="G8" s="26" t="n">
        <x:v>2.5</x:v>
      </x:c>
      <x:c r="H8" s="26" t="str">
        <x:v>A3</x:v>
      </x:c>
      <x:c r="I8" s="26" t="str">
        <x:v>D2</x:v>
      </x:c>
      <x:c r="J8" s="26" t="str">
        <x:f>IF(G8&lt;3,"Close project physics",IF(D8&gt;0,"Close primitive evidence",IF(E8&lt;Controls!$B$10,"Raise weighted closure","Independent rendering review")))</x:f>
        <x:v>Close project physics</x:v>
      </x:c>
    </x:row>
    <x:row r="9">
      <x:c r="A9" s="26" t="str">
        <x:v>IFCG</x:v>
      </x:c>
      <x:c r="B9" s="26" t="str">
        <x:v>Integrated Fire Control Group</x:v>
      </x:c>
      <x:c r="C9" s="26" t="n">
        <x:f>COUNTIF('Requirement Matrix'!D9:M9,"&gt;0")</x:f>
        <x:v>9</x:v>
      </x:c>
      <x:c r="D9" s="26" t="n">
        <x:f>IF('Requirement Matrix'!D9&gt;0,IF('Architecture Investment'!D6&lt;Controls!$B$9,1,0),0)+IF('Requirement Matrix'!E9&gt;0,IF('Architecture Investment'!D7&lt;Controls!$B$9,1,0),0)+IF('Requirement Matrix'!F9&gt;0,IF('Architecture Investment'!D8&lt;Controls!$B$9,1,0),0)+IF('Requirement Matrix'!G9&gt;0,IF('Architecture Investment'!D9&lt;Controls!$B$9,1,0),0)+IF('Requirement Matrix'!H9&gt;0,IF('Architecture Investment'!D10&lt;Controls!$B$9,1,0),0)+IF('Requirement Matrix'!I9&gt;0,IF('Architecture Investment'!D11&lt;Controls!$B$9,1,0),0)+IF('Requirement Matrix'!J9&gt;0,IF('Architecture Investment'!D12&lt;Controls!$B$9,1,0),0)+IF('Requirement Matrix'!K9&gt;0,IF('Architecture Investment'!D13&lt;Controls!$B$9,1,0),0)+IF('Requirement Matrix'!L9&gt;0,IF('Architecture Investment'!D14&lt;Controls!$B$9,1,0),0)+IF('Requirement Matrix'!M9&gt;0,IF('Architecture Investment'!D15&lt;Controls!$B$9,1,0),0)</x:f>
        <x:v>9</x:v>
      </x:c>
      <x:c r="E9" s="38" t="n">
        <x:f>('Requirement Matrix'!D9*'Architecture Investment'!D6+'Requirement Matrix'!E9*'Architecture Investment'!D7+'Requirement Matrix'!F9*'Architecture Investment'!D8+'Requirement Matrix'!G9*'Architecture Investment'!D9+'Requirement Matrix'!H9*'Architecture Investment'!D10+'Requirement Matrix'!I9*'Architecture Investment'!D11+'Requirement Matrix'!J9*'Architecture Investment'!D12+'Requirement Matrix'!K9*'Architecture Investment'!D13+'Requirement Matrix'!L9*'Architecture Investment'!D14+'Requirement Matrix'!M9*'Architecture Investment'!D15)/(Controls!$B$9*'Requirement Matrix'!N9)</x:f>
        <x:v>0.20833333333333334</x:v>
      </x:c>
      <x:c r="F9" s="26" t="str">
        <x:f>IF(AND(D9=0,E9&gt;=Controls!$B$10,G9&gt;=3),"ELIGIBLE","BLOCKED")</x:f>
        <x:v>BLOCKED</x:v>
      </x:c>
      <x:c r="G9" s="26" t="n">
        <x:v>2.5</x:v>
      </x:c>
      <x:c r="H9" s="26" t="str">
        <x:v>A4</x:v>
      </x:c>
      <x:c r="I9" s="26" t="str">
        <x:v>D2</x:v>
      </x:c>
      <x:c r="J9" s="26" t="str">
        <x:f>IF(G9&lt;3,"Close project physics",IF(D9&gt;0,"Close primitive evidence",IF(E9&lt;Controls!$B$10,"Raise weighted closure","Independent rendering review")))</x:f>
        <x:v>Close project physics</x:v>
      </x:c>
    </x:row>
    <x:row r="10">
      <x:c r="A10" s="26" t="str">
        <x:v>FIN</x:v>
      </x:c>
      <x:c r="B10" s="26" t="str">
        <x:v>Flood Intercept Network</x:v>
      </x:c>
      <x:c r="C10" s="26" t="n">
        <x:f>COUNTIF('Requirement Matrix'!D10:M10,"&gt;0")</x:f>
        <x:v>9</x:v>
      </x:c>
      <x:c r="D10" s="26" t="n">
        <x:f>IF('Requirement Matrix'!D10&gt;0,IF('Architecture Investment'!D6&lt;Controls!$B$9,1,0),0)+IF('Requirement Matrix'!E10&gt;0,IF('Architecture Investment'!D7&lt;Controls!$B$9,1,0),0)+IF('Requirement Matrix'!F10&gt;0,IF('Architecture Investment'!D8&lt;Controls!$B$9,1,0),0)+IF('Requirement Matrix'!G10&gt;0,IF('Architecture Investment'!D9&lt;Controls!$B$9,1,0),0)+IF('Requirement Matrix'!H10&gt;0,IF('Architecture Investment'!D10&lt;Controls!$B$9,1,0),0)+IF('Requirement Matrix'!I10&gt;0,IF('Architecture Investment'!D11&lt;Controls!$B$9,1,0),0)+IF('Requirement Matrix'!J10&gt;0,IF('Architecture Investment'!D12&lt;Controls!$B$9,1,0),0)+IF('Requirement Matrix'!K10&gt;0,IF('Architecture Investment'!D13&lt;Controls!$B$9,1,0),0)+IF('Requirement Matrix'!L10&gt;0,IF('Architecture Investment'!D14&lt;Controls!$B$9,1,0),0)+IF('Requirement Matrix'!M10&gt;0,IF('Architecture Investment'!D15&lt;Controls!$B$9,1,0),0)</x:f>
        <x:v>9</x:v>
      </x:c>
      <x:c r="E10" s="38" t="n">
        <x:f>('Requirement Matrix'!D10*'Architecture Investment'!D6+'Requirement Matrix'!E10*'Architecture Investment'!D7+'Requirement Matrix'!F10*'Architecture Investment'!D8+'Requirement Matrix'!G10*'Architecture Investment'!D9+'Requirement Matrix'!H10*'Architecture Investment'!D10+'Requirement Matrix'!I10*'Architecture Investment'!D11+'Requirement Matrix'!J10*'Architecture Investment'!D12+'Requirement Matrix'!K10*'Architecture Investment'!D13+'Requirement Matrix'!L10*'Architecture Investment'!D14+'Requirement Matrix'!M10*'Architecture Investment'!D15)/(Controls!$B$9*'Requirement Matrix'!N10)</x:f>
        <x:v>0.21666666666666667</x:v>
      </x:c>
      <x:c r="F10" s="26" t="str">
        <x:f>IF(AND(D10=0,E10&gt;=Controls!$B$10,G10&gt;=3),"ELIGIBLE","BLOCKED")</x:f>
        <x:v>BLOCKED</x:v>
      </x:c>
      <x:c r="G10" s="26" t="n">
        <x:v>2.5</x:v>
      </x:c>
      <x:c r="H10" s="26" t="str">
        <x:v>A3</x:v>
      </x:c>
      <x:c r="I10" s="26" t="str">
        <x:v>D2</x:v>
      </x:c>
      <x:c r="J10" s="26" t="str">
        <x:f>IF(G10&lt;3,"Close project physics",IF(D10&gt;0,"Close primitive evidence",IF(E10&lt;Controls!$B$10,"Raise weighted closure","Independent rendering review")))</x:f>
        <x:v>Close project physics</x:v>
      </x:c>
    </x:row>
    <x:row r="11">
      <x:c r="A11" s="26" t="str">
        <x:v>HCG-100</x:v>
      </x:c>
      <x:c r="B11" s="26" t="str">
        <x:v>Hydraulic Control Group</x:v>
      </x:c>
      <x:c r="C11" s="26" t="n">
        <x:f>COUNTIF('Requirement Matrix'!D11:M11,"&gt;0")</x:f>
        <x:v>9</x:v>
      </x:c>
      <x:c r="D11" s="26" t="n">
        <x:f>IF('Requirement Matrix'!D11&gt;0,IF('Architecture Investment'!D6&lt;Controls!$B$9,1,0),0)+IF('Requirement Matrix'!E11&gt;0,IF('Architecture Investment'!D7&lt;Controls!$B$9,1,0),0)+IF('Requirement Matrix'!F11&gt;0,IF('Architecture Investment'!D8&lt;Controls!$B$9,1,0),0)+IF('Requirement Matrix'!G11&gt;0,IF('Architecture Investment'!D9&lt;Controls!$B$9,1,0),0)+IF('Requirement Matrix'!H11&gt;0,IF('Architecture Investment'!D10&lt;Controls!$B$9,1,0),0)+IF('Requirement Matrix'!I11&gt;0,IF('Architecture Investment'!D11&lt;Controls!$B$9,1,0),0)+IF('Requirement Matrix'!J11&gt;0,IF('Architecture Investment'!D12&lt;Controls!$B$9,1,0),0)+IF('Requirement Matrix'!K11&gt;0,IF('Architecture Investment'!D13&lt;Controls!$B$9,1,0),0)+IF('Requirement Matrix'!L11&gt;0,IF('Architecture Investment'!D14&lt;Controls!$B$9,1,0),0)+IF('Requirement Matrix'!M11&gt;0,IF('Architecture Investment'!D15&lt;Controls!$B$9,1,0),0)</x:f>
        <x:v>9</x:v>
      </x:c>
      <x:c r="E11" s="38" t="n">
        <x:f>('Requirement Matrix'!D11*'Architecture Investment'!D6+'Requirement Matrix'!E11*'Architecture Investment'!D7+'Requirement Matrix'!F11*'Architecture Investment'!D8+'Requirement Matrix'!G11*'Architecture Investment'!D9+'Requirement Matrix'!H11*'Architecture Investment'!D10+'Requirement Matrix'!I11*'Architecture Investment'!D11+'Requirement Matrix'!J11*'Architecture Investment'!D12+'Requirement Matrix'!K11*'Architecture Investment'!D13+'Requirement Matrix'!L11*'Architecture Investment'!D14+'Requirement Matrix'!M11*'Architecture Investment'!D15)/(Controls!$B$9*'Requirement Matrix'!N11)</x:f>
        <x:v>0.19230769230769232</x:v>
      </x:c>
      <x:c r="F11" s="26" t="str">
        <x:f>IF(AND(D11=0,E11&gt;=Controls!$B$10,G11&gt;=3),"ELIGIBLE","BLOCKED")</x:f>
        <x:v>BLOCKED</x:v>
      </x:c>
      <x:c r="G11" s="26" t="n">
        <x:v>2.5</x:v>
      </x:c>
      <x:c r="H11" s="26" t="str">
        <x:v>A4</x:v>
      </x:c>
      <x:c r="I11" s="26" t="str">
        <x:v>D3</x:v>
      </x:c>
      <x:c r="J11" s="26" t="str">
        <x:f>IF(G11&lt;3,"Close project physics",IF(D11&gt;0,"Close primitive evidence",IF(E11&lt;Controls!$B$10,"Raise weighted closure","Independent rendering review")))</x:f>
        <x:v>Close project physics</x:v>
      </x:c>
    </x:row>
    <x:row r="12">
      <x:c r="A12" s="26" t="str">
        <x:v>N-WEP</x:v>
      </x:c>
      <x:c r="B12" s="26" t="str">
        <x:v>Nuclear Water-Energy Platform</x:v>
      </x:c>
      <x:c r="C12" s="26" t="n">
        <x:f>COUNTIF('Requirement Matrix'!D12:M12,"&gt;0")</x:f>
        <x:v>9</x:v>
      </x:c>
      <x:c r="D12" s="26" t="n">
        <x:f>IF('Requirement Matrix'!D12&gt;0,IF('Architecture Investment'!D6&lt;Controls!$B$9,1,0),0)+IF('Requirement Matrix'!E12&gt;0,IF('Architecture Investment'!D7&lt;Controls!$B$9,1,0),0)+IF('Requirement Matrix'!F12&gt;0,IF('Architecture Investment'!D8&lt;Controls!$B$9,1,0),0)+IF('Requirement Matrix'!G12&gt;0,IF('Architecture Investment'!D9&lt;Controls!$B$9,1,0),0)+IF('Requirement Matrix'!H12&gt;0,IF('Architecture Investment'!D10&lt;Controls!$B$9,1,0),0)+IF('Requirement Matrix'!I12&gt;0,IF('Architecture Investment'!D11&lt;Controls!$B$9,1,0),0)+IF('Requirement Matrix'!J12&gt;0,IF('Architecture Investment'!D12&lt;Controls!$B$9,1,0),0)+IF('Requirement Matrix'!K12&gt;0,IF('Architecture Investment'!D13&lt;Controls!$B$9,1,0),0)+IF('Requirement Matrix'!L12&gt;0,IF('Architecture Investment'!D14&lt;Controls!$B$9,1,0),0)+IF('Requirement Matrix'!M12&gt;0,IF('Architecture Investment'!D15&lt;Controls!$B$9,1,0),0)</x:f>
        <x:v>9</x:v>
      </x:c>
      <x:c r="E12" s="38" t="n">
        <x:f>('Requirement Matrix'!D12*'Architecture Investment'!D6+'Requirement Matrix'!E12*'Architecture Investment'!D7+'Requirement Matrix'!F12*'Architecture Investment'!D8+'Requirement Matrix'!G12*'Architecture Investment'!D9+'Requirement Matrix'!H12*'Architecture Investment'!D10+'Requirement Matrix'!I12*'Architecture Investment'!D11+'Requirement Matrix'!J12*'Architecture Investment'!D12+'Requirement Matrix'!K12*'Architecture Investment'!D13+'Requirement Matrix'!L12*'Architecture Investment'!D14+'Requirement Matrix'!M12*'Architecture Investment'!D15)/(Controls!$B$9*'Requirement Matrix'!N12)</x:f>
        <x:v>0.20833333333333334</x:v>
      </x:c>
      <x:c r="F12" s="26" t="str">
        <x:f>IF(AND(D12=0,E12&gt;=Controls!$B$10,G12&gt;=3),"ELIGIBLE","BLOCKED")</x:f>
        <x:v>BLOCKED</x:v>
      </x:c>
      <x:c r="G12" s="26" t="n">
        <x:v>2</x:v>
      </x:c>
      <x:c r="H12" s="26" t="str">
        <x:v>A4</x:v>
      </x:c>
      <x:c r="I12" s="26" t="str">
        <x:v>D3</x:v>
      </x:c>
      <x:c r="J12" s="26" t="str">
        <x:f>IF(G12&lt;3,"Close project physics",IF(D12&gt;0,"Close primitive evidence",IF(E12&lt;Controls!$B$10,"Raise weighted closure","Independent rendering review")))</x:f>
        <x:v>Close project physics</x:v>
      </x:c>
    </x:row>
    <x:row r="13">
      <x:c r="A13" s="26" t="str">
        <x:v>MR-3</x:v>
      </x:c>
      <x:c r="B13" s="26" t="str">
        <x:v>Resilience Support Carrier</x:v>
      </x:c>
      <x:c r="C13" s="26" t="n">
        <x:f>COUNTIF('Requirement Matrix'!D13:M13,"&gt;0")</x:f>
        <x:v>9</x:v>
      </x:c>
      <x:c r="D13" s="26" t="n">
        <x:f>IF('Requirement Matrix'!D13&gt;0,IF('Architecture Investment'!D6&lt;Controls!$B$9,1,0),0)+IF('Requirement Matrix'!E13&gt;0,IF('Architecture Investment'!D7&lt;Controls!$B$9,1,0),0)+IF('Requirement Matrix'!F13&gt;0,IF('Architecture Investment'!D8&lt;Controls!$B$9,1,0),0)+IF('Requirement Matrix'!G13&gt;0,IF('Architecture Investment'!D9&lt;Controls!$B$9,1,0),0)+IF('Requirement Matrix'!H13&gt;0,IF('Architecture Investment'!D10&lt;Controls!$B$9,1,0),0)+IF('Requirement Matrix'!I13&gt;0,IF('Architecture Investment'!D11&lt;Controls!$B$9,1,0),0)+IF('Requirement Matrix'!J13&gt;0,IF('Architecture Investment'!D12&lt;Controls!$B$9,1,0),0)+IF('Requirement Matrix'!K13&gt;0,IF('Architecture Investment'!D13&lt;Controls!$B$9,1,0),0)+IF('Requirement Matrix'!L13&gt;0,IF('Architecture Investment'!D14&lt;Controls!$B$9,1,0),0)+IF('Requirement Matrix'!M13&gt;0,IF('Architecture Investment'!D15&lt;Controls!$B$9,1,0),0)</x:f>
        <x:v>9</x:v>
      </x:c>
      <x:c r="E13" s="38" t="n">
        <x:f>('Requirement Matrix'!D13*'Architecture Investment'!D6+'Requirement Matrix'!E13*'Architecture Investment'!D7+'Requirement Matrix'!F13*'Architecture Investment'!D8+'Requirement Matrix'!G13*'Architecture Investment'!D9+'Requirement Matrix'!H13*'Architecture Investment'!D10+'Requirement Matrix'!I13*'Architecture Investment'!D11+'Requirement Matrix'!J13*'Architecture Investment'!D12+'Requirement Matrix'!K13*'Architecture Investment'!D13+'Requirement Matrix'!L13*'Architecture Investment'!D14+'Requirement Matrix'!M13*'Architecture Investment'!D15)/(Controls!$B$9*'Requirement Matrix'!N13)</x:f>
        <x:v>0.20634920634920634</x:v>
      </x:c>
      <x:c r="F13" s="26" t="str">
        <x:f>IF(AND(D13=0,E13&gt;=Controls!$B$10,G13&gt;=3),"ELIGIBLE","BLOCKED")</x:f>
        <x:v>BLOCKED</x:v>
      </x:c>
      <x:c r="G13" s="26" t="n">
        <x:v>2</x:v>
      </x:c>
      <x:c r="H13" s="26" t="str">
        <x:v>A3</x:v>
      </x:c>
      <x:c r="I13" s="26" t="str">
        <x:v>D3</x:v>
      </x:c>
      <x:c r="J13" s="26" t="str">
        <x:f>IF(G13&lt;3,"Close project physics",IF(D13&gt;0,"Close primitive evidence",IF(E13&lt;Controls!$B$10,"Raise weighted closure","Independent rendering review")))</x:f>
        <x:v>Close project physics</x:v>
      </x:c>
    </x:row>
    <x:row r="14">
      <x:c r="A14" s="26" t="str">
        <x:v>MH-1</x:v>
      </x:c>
      <x:c r="B14" s="26" t="str">
        <x:v>Littoral Stabilization Ship</x:v>
      </x:c>
      <x:c r="C14" s="26" t="n">
        <x:f>COUNTIF('Requirement Matrix'!D14:M14,"&gt;0")</x:f>
        <x:v>10</x:v>
      </x:c>
      <x:c r="D14" s="26" t="n">
        <x:f>IF('Requirement Matrix'!D14&gt;0,IF('Architecture Investment'!D6&lt;Controls!$B$9,1,0),0)+IF('Requirement Matrix'!E14&gt;0,IF('Architecture Investment'!D7&lt;Controls!$B$9,1,0),0)+IF('Requirement Matrix'!F14&gt;0,IF('Architecture Investment'!D8&lt;Controls!$B$9,1,0),0)+IF('Requirement Matrix'!G14&gt;0,IF('Architecture Investment'!D9&lt;Controls!$B$9,1,0),0)+IF('Requirement Matrix'!H14&gt;0,IF('Architecture Investment'!D10&lt;Controls!$B$9,1,0),0)+IF('Requirement Matrix'!I14&gt;0,IF('Architecture Investment'!D11&lt;Controls!$B$9,1,0),0)+IF('Requirement Matrix'!J14&gt;0,IF('Architecture Investment'!D12&lt;Controls!$B$9,1,0),0)+IF('Requirement Matrix'!K14&gt;0,IF('Architecture Investment'!D13&lt;Controls!$B$9,1,0),0)+IF('Requirement Matrix'!L14&gt;0,IF('Architecture Investment'!D14&lt;Controls!$B$9,1,0),0)+IF('Requirement Matrix'!M14&gt;0,IF('Architecture Investment'!D15&lt;Controls!$B$9,1,0),0)</x:f>
        <x:v>10</x:v>
      </x:c>
      <x:c r="E14" s="38" t="n">
        <x:f>('Requirement Matrix'!D14*'Architecture Investment'!D6+'Requirement Matrix'!E14*'Architecture Investment'!D7+'Requirement Matrix'!F14*'Architecture Investment'!D8+'Requirement Matrix'!G14*'Architecture Investment'!D9+'Requirement Matrix'!H14*'Architecture Investment'!D10+'Requirement Matrix'!I14*'Architecture Investment'!D11+'Requirement Matrix'!J14*'Architecture Investment'!D12+'Requirement Matrix'!K14*'Architecture Investment'!D13+'Requirement Matrix'!L14*'Architecture Investment'!D14+'Requirement Matrix'!M14*'Architecture Investment'!D15)/(Controls!$B$9*'Requirement Matrix'!N14)</x:f>
        <x:v>0.20634920634920634</x:v>
      </x:c>
      <x:c r="F14" s="26" t="str">
        <x:f>IF(AND(D14=0,E14&gt;=Controls!$B$10,G14&gt;=3),"ELIGIBLE","BLOCKED")</x:f>
        <x:v>BLOCKED</x:v>
      </x:c>
      <x:c r="G14" s="26" t="n">
        <x:v>1</x:v>
      </x:c>
      <x:c r="H14" s="26" t="str">
        <x:v>A4</x:v>
      </x:c>
      <x:c r="I14" s="26" t="str">
        <x:v>D3</x:v>
      </x:c>
      <x:c r="J14" s="26" t="str">
        <x:f>IF(G14&lt;3,"Close project physics",IF(D14&gt;0,"Close primitive evidence",IF(E14&lt;Controls!$B$10,"Raise weighted closure","Independent rendering review")))</x:f>
        <x:v>Close project physics</x:v>
      </x:c>
    </x:row>
    <x:row r="15">
      <x:c r="A15" s="26" t="str">
        <x:v>MH-2</x:v>
      </x:c>
      <x:c r="B15" s="26" t="str">
        <x:v>Regional Clinical Support Ship</x:v>
      </x:c>
      <x:c r="C15" s="26" t="n">
        <x:f>COUNTIF('Requirement Matrix'!D15:M15,"&gt;0")</x:f>
        <x:v>10</x:v>
      </x:c>
      <x:c r="D15" s="26" t="n">
        <x:f>IF('Requirement Matrix'!D15&gt;0,IF('Architecture Investment'!D6&lt;Controls!$B$9,1,0),0)+IF('Requirement Matrix'!E15&gt;0,IF('Architecture Investment'!D7&lt;Controls!$B$9,1,0),0)+IF('Requirement Matrix'!F15&gt;0,IF('Architecture Investment'!D8&lt;Controls!$B$9,1,0),0)+IF('Requirement Matrix'!G15&gt;0,IF('Architecture Investment'!D9&lt;Controls!$B$9,1,0),0)+IF('Requirement Matrix'!H15&gt;0,IF('Architecture Investment'!D10&lt;Controls!$B$9,1,0),0)+IF('Requirement Matrix'!I15&gt;0,IF('Architecture Investment'!D11&lt;Controls!$B$9,1,0),0)+IF('Requirement Matrix'!J15&gt;0,IF('Architecture Investment'!D12&lt;Controls!$B$9,1,0),0)+IF('Requirement Matrix'!K15&gt;0,IF('Architecture Investment'!D13&lt;Controls!$B$9,1,0),0)+IF('Requirement Matrix'!L15&gt;0,IF('Architecture Investment'!D14&lt;Controls!$B$9,1,0),0)+IF('Requirement Matrix'!M15&gt;0,IF('Architecture Investment'!D15&lt;Controls!$B$9,1,0),0)</x:f>
        <x:v>10</x:v>
      </x:c>
      <x:c r="E15" s="38" t="n">
        <x:f>('Requirement Matrix'!D15*'Architecture Investment'!D6+'Requirement Matrix'!E15*'Architecture Investment'!D7+'Requirement Matrix'!F15*'Architecture Investment'!D8+'Requirement Matrix'!G15*'Architecture Investment'!D9+'Requirement Matrix'!H15*'Architecture Investment'!D10+'Requirement Matrix'!I15*'Architecture Investment'!D11+'Requirement Matrix'!J15*'Architecture Investment'!D12+'Requirement Matrix'!K15*'Architecture Investment'!D13+'Requirement Matrix'!L15*'Architecture Investment'!D14+'Requirement Matrix'!M15*'Architecture Investment'!D15)/(Controls!$B$9*'Requirement Matrix'!N15)</x:f>
        <x:v>0.21212121212121213</x:v>
      </x:c>
      <x:c r="F15" s="26" t="str">
        <x:f>IF(AND(D15=0,E15&gt;=Controls!$B$10,G15&gt;=3),"ELIGIBLE","BLOCKED")</x:f>
        <x:v>BLOCKED</x:v>
      </x:c>
      <x:c r="G15" s="26" t="n">
        <x:v>1</x:v>
      </x:c>
      <x:c r="H15" s="26" t="str">
        <x:v>A4</x:v>
      </x:c>
      <x:c r="I15" s="26" t="str">
        <x:v>D3</x:v>
      </x:c>
      <x:c r="J15" s="26" t="str">
        <x:f>IF(G15&lt;3,"Close project physics",IF(D15&gt;0,"Close primitive evidence",IF(E15&lt;Controls!$B$10,"Raise weighted closure","Independent rendering review")))</x:f>
        <x:v>Close project physics</x:v>
      </x:c>
    </x:row>
    <x:row r="16">
      <x:c r="A16" s="26" t="str">
        <x:v>MH-3</x:v>
      </x:c>
      <x:c r="B16" s="26" t="str">
        <x:v>Strategic Health Support Platform</x:v>
      </x:c>
      <x:c r="C16" s="26" t="n">
        <x:f>COUNTIF('Requirement Matrix'!D16:M16,"&gt;0")</x:f>
        <x:v>10</x:v>
      </x:c>
      <x:c r="D16" s="26" t="n">
        <x:f>IF('Requirement Matrix'!D16&gt;0,IF('Architecture Investment'!D6&lt;Controls!$B$9,1,0),0)+IF('Requirement Matrix'!E16&gt;0,IF('Architecture Investment'!D7&lt;Controls!$B$9,1,0),0)+IF('Requirement Matrix'!F16&gt;0,IF('Architecture Investment'!D8&lt;Controls!$B$9,1,0),0)+IF('Requirement Matrix'!G16&gt;0,IF('Architecture Investment'!D9&lt;Controls!$B$9,1,0),0)+IF('Requirement Matrix'!H16&gt;0,IF('Architecture Investment'!D10&lt;Controls!$B$9,1,0),0)+IF('Requirement Matrix'!I16&gt;0,IF('Architecture Investment'!D11&lt;Controls!$B$9,1,0),0)+IF('Requirement Matrix'!J16&gt;0,IF('Architecture Investment'!D12&lt;Controls!$B$9,1,0),0)+IF('Requirement Matrix'!K16&gt;0,IF('Architecture Investment'!D13&lt;Controls!$B$9,1,0),0)+IF('Requirement Matrix'!L16&gt;0,IF('Architecture Investment'!D14&lt;Controls!$B$9,1,0),0)+IF('Requirement Matrix'!M16&gt;0,IF('Architecture Investment'!D15&lt;Controls!$B$9,1,0),0)</x:f>
        <x:v>10</x:v>
      </x:c>
      <x:c r="E16" s="38" t="n">
        <x:f>('Requirement Matrix'!D16*'Architecture Investment'!D6+'Requirement Matrix'!E16*'Architecture Investment'!D7+'Requirement Matrix'!F16*'Architecture Investment'!D8+'Requirement Matrix'!G16*'Architecture Investment'!D9+'Requirement Matrix'!H16*'Architecture Investment'!D10+'Requirement Matrix'!I16*'Architecture Investment'!D11+'Requirement Matrix'!J16*'Architecture Investment'!D12+'Requirement Matrix'!K16*'Architecture Investment'!D13+'Requirement Matrix'!L16*'Architecture Investment'!D14+'Requirement Matrix'!M16*'Architecture Investment'!D15)/(Controls!$B$9*'Requirement Matrix'!N16)</x:f>
        <x:v>0.19230769230769232</x:v>
      </x:c>
      <x:c r="F16" s="26" t="str">
        <x:f>IF(AND(D16=0,E16&gt;=Controls!$B$10,G16&gt;=3),"ELIGIBLE","BLOCKED")</x:f>
        <x:v>BLOCKED</x:v>
      </x:c>
      <x:c r="G16" s="26" t="n">
        <x:v>1</x:v>
      </x:c>
      <x:c r="H16" s="26" t="str">
        <x:v>A4</x:v>
      </x:c>
      <x:c r="I16" s="26" t="str">
        <x:v>D3</x:v>
      </x:c>
      <x:c r="J16" s="26" t="str">
        <x:f>IF(G16&lt;3,"Close project physics",IF(D16&gt;0,"Close primitive evidence",IF(E16&lt;Controls!$B$10,"Raise weighted closure","Independent rendering review")))</x:f>
        <x:v>Close project physics</x:v>
      </x:c>
    </x:row>
    <x:row r="17">
      <x:c r="A17" s="26" t="str">
        <x:v>AM-2</x:v>
      </x:c>
      <x:c r="B17" s="26" t="str">
        <x:v>Short-Field Disaster Airlifter</x:v>
      </x:c>
      <x:c r="C17" s="26" t="n">
        <x:f>COUNTIF('Requirement Matrix'!D17:M17,"&gt;0")</x:f>
        <x:v>8</x:v>
      </x:c>
      <x:c r="D17" s="26" t="n">
        <x:f>IF('Requirement Matrix'!D17&gt;0,IF('Architecture Investment'!D6&lt;Controls!$B$9,1,0),0)+IF('Requirement Matrix'!E17&gt;0,IF('Architecture Investment'!D7&lt;Controls!$B$9,1,0),0)+IF('Requirement Matrix'!F17&gt;0,IF('Architecture Investment'!D8&lt;Controls!$B$9,1,0),0)+IF('Requirement Matrix'!G17&gt;0,IF('Architecture Investment'!D9&lt;Controls!$B$9,1,0),0)+IF('Requirement Matrix'!H17&gt;0,IF('Architecture Investment'!D10&lt;Controls!$B$9,1,0),0)+IF('Requirement Matrix'!I17&gt;0,IF('Architecture Investment'!D11&lt;Controls!$B$9,1,0),0)+IF('Requirement Matrix'!J17&gt;0,IF('Architecture Investment'!D12&lt;Controls!$B$9,1,0),0)+IF('Requirement Matrix'!K17&gt;0,IF('Architecture Investment'!D13&lt;Controls!$B$9,1,0),0)+IF('Requirement Matrix'!L17&gt;0,IF('Architecture Investment'!D14&lt;Controls!$B$9,1,0),0)+IF('Requirement Matrix'!M17&gt;0,IF('Architecture Investment'!D15&lt;Controls!$B$9,1,0),0)</x:f>
        <x:v>8</x:v>
      </x:c>
      <x:c r="E17" s="38" t="n">
        <x:f>('Requirement Matrix'!D17*'Architecture Investment'!D6+'Requirement Matrix'!E17*'Architecture Investment'!D7+'Requirement Matrix'!F17*'Architecture Investment'!D8+'Requirement Matrix'!G17*'Architecture Investment'!D9+'Requirement Matrix'!H17*'Architecture Investment'!D10+'Requirement Matrix'!I17*'Architecture Investment'!D11+'Requirement Matrix'!J17*'Architecture Investment'!D12+'Requirement Matrix'!K17*'Architecture Investment'!D13+'Requirement Matrix'!L17*'Architecture Investment'!D14+'Requirement Matrix'!M17*'Architecture Investment'!D15)/(Controls!$B$9*'Requirement Matrix'!N17)</x:f>
        <x:v>0.2222222222222222</x:v>
      </x:c>
      <x:c r="F17" s="26" t="str">
        <x:f>IF(AND(D17=0,E17&gt;=Controls!$B$10,G17&gt;=3),"ELIGIBLE","BLOCKED")</x:f>
        <x:v>BLOCKED</x:v>
      </x:c>
      <x:c r="G17" s="26" t="n">
        <x:v>2</x:v>
      </x:c>
      <x:c r="H17" s="26" t="str">
        <x:v>A3</x:v>
      </x:c>
      <x:c r="I17" s="26" t="str">
        <x:v>D2</x:v>
      </x:c>
      <x:c r="J17" s="26" t="str">
        <x:f>IF(G17&lt;3,"Close project physics",IF(D17&gt;0,"Close primitive evidence",IF(E17&lt;Controls!$B$10,"Raise weighted closure","Independent rendering review")))</x:f>
        <x:v>Close project physics</x:v>
      </x:c>
    </x:row>
    <x:row r="18">
      <x:c r="A18" s="26" t="str">
        <x:v>AM-3</x:v>
      </x:c>
      <x:c r="B18" s="26" t="str">
        <x:v>Vertical Access Family</x:v>
      </x:c>
      <x:c r="C18" s="26" t="n">
        <x:f>COUNTIF('Requirement Matrix'!D18:M18,"&gt;0")</x:f>
        <x:v>8</x:v>
      </x:c>
      <x:c r="D18" s="26" t="n">
        <x:f>IF('Requirement Matrix'!D18&gt;0,IF('Architecture Investment'!D6&lt;Controls!$B$9,1,0),0)+IF('Requirement Matrix'!E18&gt;0,IF('Architecture Investment'!D7&lt;Controls!$B$9,1,0),0)+IF('Requirement Matrix'!F18&gt;0,IF('Architecture Investment'!D8&lt;Controls!$B$9,1,0),0)+IF('Requirement Matrix'!G18&gt;0,IF('Architecture Investment'!D9&lt;Controls!$B$9,1,0),0)+IF('Requirement Matrix'!H18&gt;0,IF('Architecture Investment'!D10&lt;Controls!$B$9,1,0),0)+IF('Requirement Matrix'!I18&gt;0,IF('Architecture Investment'!D11&lt;Controls!$B$9,1,0),0)+IF('Requirement Matrix'!J18&gt;0,IF('Architecture Investment'!D12&lt;Controls!$B$9,1,0),0)+IF('Requirement Matrix'!K18&gt;0,IF('Architecture Investment'!D13&lt;Controls!$B$9,1,0),0)+IF('Requirement Matrix'!L18&gt;0,IF('Architecture Investment'!D14&lt;Controls!$B$9,1,0),0)+IF('Requirement Matrix'!M18&gt;0,IF('Architecture Investment'!D15&lt;Controls!$B$9,1,0),0)</x:f>
        <x:v>8</x:v>
      </x:c>
      <x:c r="E18" s="38" t="n">
        <x:f>('Requirement Matrix'!D18*'Architecture Investment'!D6+'Requirement Matrix'!E18*'Architecture Investment'!D7+'Requirement Matrix'!F18*'Architecture Investment'!D8+'Requirement Matrix'!G18*'Architecture Investment'!D9+'Requirement Matrix'!H18*'Architecture Investment'!D10+'Requirement Matrix'!I18*'Architecture Investment'!D11+'Requirement Matrix'!J18*'Architecture Investment'!D12+'Requirement Matrix'!K18*'Architecture Investment'!D13+'Requirement Matrix'!L18*'Architecture Investment'!D14+'Requirement Matrix'!M18*'Architecture Investment'!D15)/(Controls!$B$9*'Requirement Matrix'!N18)</x:f>
        <x:v>0.2222222222222222</x:v>
      </x:c>
      <x:c r="F18" s="26" t="str">
        <x:f>IF(AND(D18=0,E18&gt;=Controls!$B$10,G18&gt;=3),"ELIGIBLE","BLOCKED")</x:f>
        <x:v>BLOCKED</x:v>
      </x:c>
      <x:c r="G18" s="26" t="n">
        <x:v>1</x:v>
      </x:c>
      <x:c r="H18" s="26" t="str">
        <x:v>A4</x:v>
      </x:c>
      <x:c r="I18" s="26" t="str">
        <x:v>D2</x:v>
      </x:c>
      <x:c r="J18" s="26" t="str">
        <x:f>IF(G18&lt;3,"Close project physics",IF(D18&gt;0,"Close primitive evidence",IF(E18&lt;Controls!$B$10,"Raise weighted closure","Independent rendering review")))</x:f>
        <x:v>Close project physics</x:v>
      </x:c>
    </x:row>
    <x:row r="19">
      <x:c r="A19" s="26" t="str">
        <x:v>FA-2</x:v>
      </x:c>
      <x:c r="B19" s="26" t="str">
        <x:v>Rapid Attack Aircraft</x:v>
      </x:c>
      <x:c r="C19" s="26" t="n">
        <x:f>COUNTIF('Requirement Matrix'!D19:M19,"&gt;0")</x:f>
        <x:v>9</x:v>
      </x:c>
      <x:c r="D19" s="26" t="n">
        <x:f>IF('Requirement Matrix'!D19&gt;0,IF('Architecture Investment'!D6&lt;Controls!$B$9,1,0),0)+IF('Requirement Matrix'!E19&gt;0,IF('Architecture Investment'!D7&lt;Controls!$B$9,1,0),0)+IF('Requirement Matrix'!F19&gt;0,IF('Architecture Investment'!D8&lt;Controls!$B$9,1,0),0)+IF('Requirement Matrix'!G19&gt;0,IF('Architecture Investment'!D9&lt;Controls!$B$9,1,0),0)+IF('Requirement Matrix'!H19&gt;0,IF('Architecture Investment'!D10&lt;Controls!$B$9,1,0),0)+IF('Requirement Matrix'!I19&gt;0,IF('Architecture Investment'!D11&lt;Controls!$B$9,1,0),0)+IF('Requirement Matrix'!J19&gt;0,IF('Architecture Investment'!D12&lt;Controls!$B$9,1,0),0)+IF('Requirement Matrix'!K19&gt;0,IF('Architecture Investment'!D13&lt;Controls!$B$9,1,0),0)+IF('Requirement Matrix'!L19&gt;0,IF('Architecture Investment'!D14&lt;Controls!$B$9,1,0),0)+IF('Requirement Matrix'!M19&gt;0,IF('Architecture Investment'!D15&lt;Controls!$B$9,1,0),0)</x:f>
        <x:v>9</x:v>
      </x:c>
      <x:c r="E19" s="38" t="n">
        <x:f>('Requirement Matrix'!D19*'Architecture Investment'!D6+'Requirement Matrix'!E19*'Architecture Investment'!D7+'Requirement Matrix'!F19*'Architecture Investment'!D8+'Requirement Matrix'!G19*'Architecture Investment'!D9+'Requirement Matrix'!H19*'Architecture Investment'!D10+'Requirement Matrix'!I19*'Architecture Investment'!D11+'Requirement Matrix'!J19*'Architecture Investment'!D12+'Requirement Matrix'!K19*'Architecture Investment'!D13+'Requirement Matrix'!L19*'Architecture Investment'!D14+'Requirement Matrix'!M19*'Architecture Investment'!D15)/(Controls!$B$9*'Requirement Matrix'!N19)</x:f>
        <x:v>0.23333333333333334</x:v>
      </x:c>
      <x:c r="F19" s="26" t="str">
        <x:f>IF(AND(D19=0,E19&gt;=Controls!$B$10,G19&gt;=3),"ELIGIBLE","BLOCKED")</x:f>
        <x:v>BLOCKED</x:v>
      </x:c>
      <x:c r="G19" s="26" t="n">
        <x:v>2</x:v>
      </x:c>
      <x:c r="H19" s="26" t="str">
        <x:v>A3</x:v>
      </x:c>
      <x:c r="I19" s="26" t="str">
        <x:v>D2</x:v>
      </x:c>
      <x:c r="J19" s="26" t="str">
        <x:f>IF(G19&lt;3,"Close project physics",IF(D19&gt;0,"Close primitive evidence",IF(E19&lt;Controls!$B$10,"Raise weighted closure","Independent rendering review")))</x:f>
        <x:v>Close project physics</x:v>
      </x:c>
    </x:row>
    <x:row r="20">
      <x:c r="A20" s="26" t="str">
        <x:v>FA-3</x:v>
      </x:c>
      <x:c r="B20" s="26" t="str">
        <x:v>Regional Amphibious Suppressor</x:v>
      </x:c>
      <x:c r="C20" s="26" t="n">
        <x:f>COUNTIF('Requirement Matrix'!D20:M20,"&gt;0")</x:f>
        <x:v>9</x:v>
      </x:c>
      <x:c r="D20" s="26" t="n">
        <x:f>IF('Requirement Matrix'!D20&gt;0,IF('Architecture Investment'!D6&lt;Controls!$B$9,1,0),0)+IF('Requirement Matrix'!E20&gt;0,IF('Architecture Investment'!D7&lt;Controls!$B$9,1,0),0)+IF('Requirement Matrix'!F20&gt;0,IF('Architecture Investment'!D8&lt;Controls!$B$9,1,0),0)+IF('Requirement Matrix'!G20&gt;0,IF('Architecture Investment'!D9&lt;Controls!$B$9,1,0),0)+IF('Requirement Matrix'!H20&gt;0,IF('Architecture Investment'!D10&lt;Controls!$B$9,1,0),0)+IF('Requirement Matrix'!I20&gt;0,IF('Architecture Investment'!D11&lt;Controls!$B$9,1,0),0)+IF('Requirement Matrix'!J20&gt;0,IF('Architecture Investment'!D12&lt;Controls!$B$9,1,0),0)+IF('Requirement Matrix'!K20&gt;0,IF('Architecture Investment'!D13&lt;Controls!$B$9,1,0),0)+IF('Requirement Matrix'!L20&gt;0,IF('Architecture Investment'!D14&lt;Controls!$B$9,1,0),0)+IF('Requirement Matrix'!M20&gt;0,IF('Architecture Investment'!D15&lt;Controls!$B$9,1,0),0)</x:f>
        <x:v>9</x:v>
      </x:c>
      <x:c r="E20" s="38" t="n">
        <x:f>('Requirement Matrix'!D20*'Architecture Investment'!D6+'Requirement Matrix'!E20*'Architecture Investment'!D7+'Requirement Matrix'!F20*'Architecture Investment'!D8+'Requirement Matrix'!G20*'Architecture Investment'!D9+'Requirement Matrix'!H20*'Architecture Investment'!D10+'Requirement Matrix'!I20*'Architecture Investment'!D11+'Requirement Matrix'!J20*'Architecture Investment'!D12+'Requirement Matrix'!K20*'Architecture Investment'!D13+'Requirement Matrix'!L20*'Architecture Investment'!D14+'Requirement Matrix'!M20*'Architecture Investment'!D15)/(Controls!$B$9*'Requirement Matrix'!N20)</x:f>
        <x:v>0.23333333333333334</x:v>
      </x:c>
      <x:c r="F20" s="26" t="str">
        <x:f>IF(AND(D20=0,E20&gt;=Controls!$B$10,G20&gt;=3),"ELIGIBLE","BLOCKED")</x:f>
        <x:v>BLOCKED</x:v>
      </x:c>
      <x:c r="G20" s="26" t="n">
        <x:v>2</x:v>
      </x:c>
      <x:c r="H20" s="26" t="str">
        <x:v>A3</x:v>
      </x:c>
      <x:c r="I20" s="26" t="str">
        <x:v>D2</x:v>
      </x:c>
      <x:c r="J20" s="26" t="str">
        <x:f>IF(G20&lt;3,"Close project physics",IF(D20&gt;0,"Close primitive evidence",IF(E20&lt;Controls!$B$10,"Raise weighted closure","Independent rendering review")))</x:f>
        <x:v>Close project physics</x:v>
      </x:c>
    </x:row>
    <x:row r="21">
      <x:c r="A21" s="26" t="str">
        <x:v>FA-4</x:v>
      </x:c>
      <x:c r="B21" s="26" t="str">
        <x:v>Heavy Line Builder</x:v>
      </x:c>
      <x:c r="C21" s="26" t="n">
        <x:f>COUNTIF('Requirement Matrix'!D21:M21,"&gt;0")</x:f>
        <x:v>9</x:v>
      </x:c>
      <x:c r="D21" s="26" t="n">
        <x:f>IF('Requirement Matrix'!D21&gt;0,IF('Architecture Investment'!D6&lt;Controls!$B$9,1,0),0)+IF('Requirement Matrix'!E21&gt;0,IF('Architecture Investment'!D7&lt;Controls!$B$9,1,0),0)+IF('Requirement Matrix'!F21&gt;0,IF('Architecture Investment'!D8&lt;Controls!$B$9,1,0),0)+IF('Requirement Matrix'!G21&gt;0,IF('Architecture Investment'!D9&lt;Controls!$B$9,1,0),0)+IF('Requirement Matrix'!H21&gt;0,IF('Architecture Investment'!D10&lt;Controls!$B$9,1,0),0)+IF('Requirement Matrix'!I21&gt;0,IF('Architecture Investment'!D11&lt;Controls!$B$9,1,0),0)+IF('Requirement Matrix'!J21&gt;0,IF('Architecture Investment'!D12&lt;Controls!$B$9,1,0),0)+IF('Requirement Matrix'!K21&gt;0,IF('Architecture Investment'!D13&lt;Controls!$B$9,1,0),0)+IF('Requirement Matrix'!L21&gt;0,IF('Architecture Investment'!D14&lt;Controls!$B$9,1,0),0)+IF('Requirement Matrix'!M21&gt;0,IF('Architecture Investment'!D15&lt;Controls!$B$9,1,0),0)</x:f>
        <x:v>9</x:v>
      </x:c>
      <x:c r="E21" s="38" t="n">
        <x:f>('Requirement Matrix'!D21*'Architecture Investment'!D6+'Requirement Matrix'!E21*'Architecture Investment'!D7+'Requirement Matrix'!F21*'Architecture Investment'!D8+'Requirement Matrix'!G21*'Architecture Investment'!D9+'Requirement Matrix'!H21*'Architecture Investment'!D10+'Requirement Matrix'!I21*'Architecture Investment'!D11+'Requirement Matrix'!J21*'Architecture Investment'!D12+'Requirement Matrix'!K21*'Architecture Investment'!D13+'Requirement Matrix'!L21*'Architecture Investment'!D14+'Requirement Matrix'!M21*'Architecture Investment'!D15)/(Controls!$B$9*'Requirement Matrix'!N21)</x:f>
        <x:v>0.23333333333333334</x:v>
      </x:c>
      <x:c r="F21" s="26" t="str">
        <x:f>IF(AND(D21=0,E21&gt;=Controls!$B$10,G21&gt;=3),"ELIGIBLE","BLOCKED")</x:f>
        <x:v>BLOCKED</x:v>
      </x:c>
      <x:c r="G21" s="26" t="n">
        <x:v>2</x:v>
      </x:c>
      <x:c r="H21" s="26" t="str">
        <x:v>A3</x:v>
      </x:c>
      <x:c r="I21" s="26" t="str">
        <x:v>D2</x:v>
      </x:c>
      <x:c r="J21" s="26" t="str">
        <x:f>IF(G21&lt;3,"Close project physics",IF(D21&gt;0,"Close primitive evidence",IF(E21&lt;Controls!$B$10,"Raise weighted closure","Independent rendering review")))</x:f>
        <x:v>Close project physics</x:v>
      </x:c>
    </x:row>
    <x:row r="22">
      <x:c r="A22" s="26" t="str">
        <x:v>C-2</x:v>
      </x:c>
      <x:c r="B22" s="26" t="str">
        <x:v>Incident Network Node</x:v>
      </x:c>
      <x:c r="C22" s="26" t="n">
        <x:f>COUNTIF('Requirement Matrix'!D22:M22,"&gt;0")</x:f>
        <x:v>7</x:v>
      </x:c>
      <x:c r="D22" s="26" t="n">
        <x:f>IF('Requirement Matrix'!D22&gt;0,IF('Architecture Investment'!D6&lt;Controls!$B$9,1,0),0)+IF('Requirement Matrix'!E22&gt;0,IF('Architecture Investment'!D7&lt;Controls!$B$9,1,0),0)+IF('Requirement Matrix'!F22&gt;0,IF('Architecture Investment'!D8&lt;Controls!$B$9,1,0),0)+IF('Requirement Matrix'!G22&gt;0,IF('Architecture Investment'!D9&lt;Controls!$B$9,1,0),0)+IF('Requirement Matrix'!H22&gt;0,IF('Architecture Investment'!D10&lt;Controls!$B$9,1,0),0)+IF('Requirement Matrix'!I22&gt;0,IF('Architecture Investment'!D11&lt;Controls!$B$9,1,0),0)+IF('Requirement Matrix'!J22&gt;0,IF('Architecture Investment'!D12&lt;Controls!$B$9,1,0),0)+IF('Requirement Matrix'!K22&gt;0,IF('Architecture Investment'!D13&lt;Controls!$B$9,1,0),0)+IF('Requirement Matrix'!L22&gt;0,IF('Architecture Investment'!D14&lt;Controls!$B$9,1,0),0)+IF('Requirement Matrix'!M22&gt;0,IF('Architecture Investment'!D15&lt;Controls!$B$9,1,0),0)</x:f>
        <x:v>7</x:v>
      </x:c>
      <x:c r="E22" s="38" t="n">
        <x:f>('Requirement Matrix'!D22*'Architecture Investment'!D6+'Requirement Matrix'!E22*'Architecture Investment'!D7+'Requirement Matrix'!F22*'Architecture Investment'!D8+'Requirement Matrix'!G22*'Architecture Investment'!D9+'Requirement Matrix'!H22*'Architecture Investment'!D10+'Requirement Matrix'!I22*'Architecture Investment'!D11+'Requirement Matrix'!J22*'Architecture Investment'!D12+'Requirement Matrix'!K22*'Architecture Investment'!D13+'Requirement Matrix'!L22*'Architecture Investment'!D14+'Requirement Matrix'!M22*'Architecture Investment'!D15)/(Controls!$B$9*'Requirement Matrix'!N22)</x:f>
        <x:v>0.2857142857142857</x:v>
      </x:c>
      <x:c r="F22" s="26" t="str">
        <x:f>IF(AND(D22=0,E22&gt;=Controls!$B$10,G22&gt;=3),"ELIGIBLE","BLOCKED")</x:f>
        <x:v>BLOCKED</x:v>
      </x:c>
      <x:c r="G22" s="26" t="n">
        <x:v>1</x:v>
      </x:c>
      <x:c r="H22" s="26" t="str">
        <x:v>A2</x:v>
      </x:c>
      <x:c r="I22" s="26" t="str">
        <x:v>D3</x:v>
      </x:c>
      <x:c r="J22" s="26" t="str">
        <x:f>IF(G22&lt;3,"Close project physics",IF(D22&gt;0,"Close primitive evidence",IF(E22&lt;Controls!$B$10,"Raise weighted closure","Independent rendering review")))</x:f>
        <x:v>Close project physics</x:v>
      </x:c>
    </x:row>
    <x:row r="23">
      <x:c r="A23" s="26" t="str">
        <x:v>C-3</x:v>
      </x:c>
      <x:c r="B23" s="26" t="str">
        <x:v>Airborne Coverage and Relay</x:v>
      </x:c>
      <x:c r="C23" s="26" t="n">
        <x:f>COUNTIF('Requirement Matrix'!D23:M23,"&gt;0")</x:f>
        <x:v>7</x:v>
      </x:c>
      <x:c r="D23" s="26" t="n">
        <x:f>IF('Requirement Matrix'!D23&gt;0,IF('Architecture Investment'!D6&lt;Controls!$B$9,1,0),0)+IF('Requirement Matrix'!E23&gt;0,IF('Architecture Investment'!D7&lt;Controls!$B$9,1,0),0)+IF('Requirement Matrix'!F23&gt;0,IF('Architecture Investment'!D8&lt;Controls!$B$9,1,0),0)+IF('Requirement Matrix'!G23&gt;0,IF('Architecture Investment'!D9&lt;Controls!$B$9,1,0),0)+IF('Requirement Matrix'!H23&gt;0,IF('Architecture Investment'!D10&lt;Controls!$B$9,1,0),0)+IF('Requirement Matrix'!I23&gt;0,IF('Architecture Investment'!D11&lt;Controls!$B$9,1,0),0)+IF('Requirement Matrix'!J23&gt;0,IF('Architecture Investment'!D12&lt;Controls!$B$9,1,0),0)+IF('Requirement Matrix'!K23&gt;0,IF('Architecture Investment'!D13&lt;Controls!$B$9,1,0),0)+IF('Requirement Matrix'!L23&gt;0,IF('Architecture Investment'!D14&lt;Controls!$B$9,1,0),0)+IF('Requirement Matrix'!M23&gt;0,IF('Architecture Investment'!D15&lt;Controls!$B$9,1,0),0)</x:f>
        <x:v>7</x:v>
      </x:c>
      <x:c r="E23" s="38" t="n">
        <x:f>('Requirement Matrix'!D23*'Architecture Investment'!D6+'Requirement Matrix'!E23*'Architecture Investment'!D7+'Requirement Matrix'!F23*'Architecture Investment'!D8+'Requirement Matrix'!G23*'Architecture Investment'!D9+'Requirement Matrix'!H23*'Architecture Investment'!D10+'Requirement Matrix'!I23*'Architecture Investment'!D11+'Requirement Matrix'!J23*'Architecture Investment'!D12+'Requirement Matrix'!K23*'Architecture Investment'!D13+'Requirement Matrix'!L23*'Architecture Investment'!D14+'Requirement Matrix'!M23*'Architecture Investment'!D15)/(Controls!$B$9*'Requirement Matrix'!N23)</x:f>
        <x:v>0.26666666666666666</x:v>
      </x:c>
      <x:c r="F23" s="26" t="str">
        <x:f>IF(AND(D23=0,E23&gt;=Controls!$B$10,G23&gt;=3),"ELIGIBLE","BLOCKED")</x:f>
        <x:v>BLOCKED</x:v>
      </x:c>
      <x:c r="G23" s="26" t="n">
        <x:v>1</x:v>
      </x:c>
      <x:c r="H23" s="26" t="str">
        <x:v>A2</x:v>
      </x:c>
      <x:c r="I23" s="26" t="str">
        <x:v>D2</x:v>
      </x:c>
      <x:c r="J23" s="26" t="str">
        <x:f>IF(G23&lt;3,"Close project physics",IF(D23&gt;0,"Close primitive evidence",IF(E23&lt;Controls!$B$10,"Raise weighted closure","Independent rendering review")))</x:f>
        <x:v>Close project physics</x:v>
      </x:c>
    </x:row>
    <x:row r="24">
      <x:c r="A24" s="26" t="str">
        <x:v>C-4</x:v>
      </x:c>
      <x:c r="B24" s="26" t="str">
        <x:v>Strategic Backhaul and Emergency Cloud</x:v>
      </x:c>
      <x:c r="C24" s="26" t="n">
        <x:f>COUNTIF('Requirement Matrix'!D24:M24,"&gt;0")</x:f>
        <x:v>7</x:v>
      </x:c>
      <x:c r="D24" s="26" t="n">
        <x:f>IF('Requirement Matrix'!D24&gt;0,IF('Architecture Investment'!D6&lt;Controls!$B$9,1,0),0)+IF('Requirement Matrix'!E24&gt;0,IF('Architecture Investment'!D7&lt;Controls!$B$9,1,0),0)+IF('Requirement Matrix'!F24&gt;0,IF('Architecture Investment'!D8&lt;Controls!$B$9,1,0),0)+IF('Requirement Matrix'!G24&gt;0,IF('Architecture Investment'!D9&lt;Controls!$B$9,1,0),0)+IF('Requirement Matrix'!H24&gt;0,IF('Architecture Investment'!D10&lt;Controls!$B$9,1,0),0)+IF('Requirement Matrix'!I24&gt;0,IF('Architecture Investment'!D11&lt;Controls!$B$9,1,0),0)+IF('Requirement Matrix'!J24&gt;0,IF('Architecture Investment'!D12&lt;Controls!$B$9,1,0),0)+IF('Requirement Matrix'!K24&gt;0,IF('Architecture Investment'!D13&lt;Controls!$B$9,1,0),0)+IF('Requirement Matrix'!L24&gt;0,IF('Architecture Investment'!D14&lt;Controls!$B$9,1,0),0)+IF('Requirement Matrix'!M24&gt;0,IF('Architecture Investment'!D15&lt;Controls!$B$9,1,0),0)</x:f>
        <x:v>7</x:v>
      </x:c>
      <x:c r="E24" s="38" t="n">
        <x:f>('Requirement Matrix'!D24*'Architecture Investment'!D6+'Requirement Matrix'!E24*'Architecture Investment'!D7+'Requirement Matrix'!F24*'Architecture Investment'!D8+'Requirement Matrix'!G24*'Architecture Investment'!D9+'Requirement Matrix'!H24*'Architecture Investment'!D10+'Requirement Matrix'!I24*'Architecture Investment'!D11+'Requirement Matrix'!J24*'Architecture Investment'!D12+'Requirement Matrix'!K24*'Architecture Investment'!D13+'Requirement Matrix'!L24*'Architecture Investment'!D14+'Requirement Matrix'!M24*'Architecture Investment'!D15)/(Controls!$B$9*'Requirement Matrix'!N24)</x:f>
        <x:v>0.29411764705882354</x:v>
      </x:c>
      <x:c r="F24" s="26" t="str">
        <x:f>IF(AND(D24=0,E24&gt;=Controls!$B$10,G24&gt;=3),"ELIGIBLE","BLOCKED")</x:f>
        <x:v>BLOCKED</x:v>
      </x:c>
      <x:c r="G24" s="26" t="n">
        <x:v>1</x:v>
      </x:c>
      <x:c r="H24" s="26" t="str">
        <x:v>A2</x:v>
      </x:c>
      <x:c r="I24" s="26" t="str">
        <x:v>D2</x:v>
      </x:c>
      <x:c r="J24" s="26" t="str">
        <x:f>IF(G24&lt;3,"Close project physics",IF(D24&gt;0,"Close primitive evidence",IF(E24&lt;Controls!$B$10,"Raise weighted closure","Independent rendering review")))</x:f>
        <x:v>Close project physics</x:v>
      </x:c>
    </x:row>
    <x:row r="25">
      <x:c r="A25" s="26" t="str">
        <x:v>EW-2</x:v>
      </x:c>
      <x:c r="B25" s="26" t="str">
        <x:v>Common Autonomous Work Machine</x:v>
      </x:c>
      <x:c r="C25" s="26" t="n">
        <x:f>COUNTIF('Requirement Matrix'!D25:M25,"&gt;0")</x:f>
        <x:v>8</x:v>
      </x:c>
      <x:c r="D25" s="26" t="n">
        <x:f>IF('Requirement Matrix'!D25&gt;0,IF('Architecture Investment'!D6&lt;Controls!$B$9,1,0),0)+IF('Requirement Matrix'!E25&gt;0,IF('Architecture Investment'!D7&lt;Controls!$B$9,1,0),0)+IF('Requirement Matrix'!F25&gt;0,IF('Architecture Investment'!D8&lt;Controls!$B$9,1,0),0)+IF('Requirement Matrix'!G25&gt;0,IF('Architecture Investment'!D9&lt;Controls!$B$9,1,0),0)+IF('Requirement Matrix'!H25&gt;0,IF('Architecture Investment'!D10&lt;Controls!$B$9,1,0),0)+IF('Requirement Matrix'!I25&gt;0,IF('Architecture Investment'!D11&lt;Controls!$B$9,1,0),0)+IF('Requirement Matrix'!J25&gt;0,IF('Architecture Investment'!D12&lt;Controls!$B$9,1,0),0)+IF('Requirement Matrix'!K25&gt;0,IF('Architecture Investment'!D13&lt;Controls!$B$9,1,0),0)+IF('Requirement Matrix'!L25&gt;0,IF('Architecture Investment'!D14&lt;Controls!$B$9,1,0),0)+IF('Requirement Matrix'!M25&gt;0,IF('Architecture Investment'!D15&lt;Controls!$B$9,1,0),0)</x:f>
        <x:v>8</x:v>
      </x:c>
      <x:c r="E25" s="38" t="n">
        <x:f>('Requirement Matrix'!D25*'Architecture Investment'!D6+'Requirement Matrix'!E25*'Architecture Investment'!D7+'Requirement Matrix'!F25*'Architecture Investment'!D8+'Requirement Matrix'!G25*'Architecture Investment'!D9+'Requirement Matrix'!H25*'Architecture Investment'!D10+'Requirement Matrix'!I25*'Architecture Investment'!D11+'Requirement Matrix'!J25*'Architecture Investment'!D12+'Requirement Matrix'!K25*'Architecture Investment'!D13+'Requirement Matrix'!L25*'Architecture Investment'!D14+'Requirement Matrix'!M25*'Architecture Investment'!D15)/(Controls!$B$9*'Requirement Matrix'!N25)</x:f>
        <x:v>0.19696969696969696</x:v>
      </x:c>
      <x:c r="F25" s="26" t="str">
        <x:f>IF(AND(D25=0,E25&gt;=Controls!$B$10,G25&gt;=3),"ELIGIBLE","BLOCKED")</x:f>
        <x:v>BLOCKED</x:v>
      </x:c>
      <x:c r="G25" s="26" t="n">
        <x:v>2</x:v>
      </x:c>
      <x:c r="H25" s="26" t="str">
        <x:v>A3</x:v>
      </x:c>
      <x:c r="I25" s="26" t="str">
        <x:v>D3</x:v>
      </x:c>
      <x:c r="J25" s="26" t="str">
        <x:f>IF(G25&lt;3,"Close project physics",IF(D25&gt;0,"Close primitive evidence",IF(E25&lt;Controls!$B$10,"Raise weighted closure","Independent rendering review")))</x:f>
        <x:v>Close project physics</x:v>
      </x:c>
    </x:row>
    <x:row r="26">
      <x:c r="A26" s="26" t="str">
        <x:v>EW-3</x:v>
      </x:c>
      <x:c r="B26" s="26" t="str">
        <x:v>Debris Processing Line</x:v>
      </x:c>
      <x:c r="C26" s="26" t="n">
        <x:f>COUNTIF('Requirement Matrix'!D26:M26,"&gt;0")</x:f>
        <x:v>9</x:v>
      </x:c>
      <x:c r="D26" s="26" t="n">
        <x:f>IF('Requirement Matrix'!D26&gt;0,IF('Architecture Investment'!D6&lt;Controls!$B$9,1,0),0)+IF('Requirement Matrix'!E26&gt;0,IF('Architecture Investment'!D7&lt;Controls!$B$9,1,0),0)+IF('Requirement Matrix'!F26&gt;0,IF('Architecture Investment'!D8&lt;Controls!$B$9,1,0),0)+IF('Requirement Matrix'!G26&gt;0,IF('Architecture Investment'!D9&lt;Controls!$B$9,1,0),0)+IF('Requirement Matrix'!H26&gt;0,IF('Architecture Investment'!D10&lt;Controls!$B$9,1,0),0)+IF('Requirement Matrix'!I26&gt;0,IF('Architecture Investment'!D11&lt;Controls!$B$9,1,0),0)+IF('Requirement Matrix'!J26&gt;0,IF('Architecture Investment'!D12&lt;Controls!$B$9,1,0),0)+IF('Requirement Matrix'!K26&gt;0,IF('Architecture Investment'!D13&lt;Controls!$B$9,1,0),0)+IF('Requirement Matrix'!L26&gt;0,IF('Architecture Investment'!D14&lt;Controls!$B$9,1,0),0)+IF('Requirement Matrix'!M26&gt;0,IF('Architecture Investment'!D15&lt;Controls!$B$9,1,0),0)</x:f>
        <x:v>9</x:v>
      </x:c>
      <x:c r="E26" s="38" t="n">
        <x:f>('Requirement Matrix'!D26*'Architecture Investment'!D6+'Requirement Matrix'!E26*'Architecture Investment'!D7+'Requirement Matrix'!F26*'Architecture Investment'!D8+'Requirement Matrix'!G26*'Architecture Investment'!D9+'Requirement Matrix'!H26*'Architecture Investment'!D10+'Requirement Matrix'!I26*'Architecture Investment'!D11+'Requirement Matrix'!J26*'Architecture Investment'!D12+'Requirement Matrix'!K26*'Architecture Investment'!D13+'Requirement Matrix'!L26*'Architecture Investment'!D14+'Requirement Matrix'!M26*'Architecture Investment'!D15)/(Controls!$B$9*'Requirement Matrix'!N26)</x:f>
        <x:v>0.19696969696969696</x:v>
      </x:c>
      <x:c r="F26" s="26" t="str">
        <x:f>IF(AND(D26=0,E26&gt;=Controls!$B$10,G26&gt;=3),"ELIGIBLE","BLOCKED")</x:f>
        <x:v>BLOCKED</x:v>
      </x:c>
      <x:c r="G26" s="26" t="n">
        <x:v>1.5</x:v>
      </x:c>
      <x:c r="H26" s="26" t="str">
        <x:v>A3</x:v>
      </x:c>
      <x:c r="I26" s="26" t="str">
        <x:v>D3</x:v>
      </x:c>
      <x:c r="J26" s="26" t="str">
        <x:f>IF(G26&lt;3,"Close project physics",IF(D26&gt;0,"Close primitive evidence",IF(E26&lt;Controls!$B$10,"Raise weighted closure","Independent rendering review")))</x:f>
        <x:v>Close project physics</x:v>
      </x:c>
    </x:row>
    <x:row r="27">
      <x:c r="A27" s="26" t="str">
        <x:v>EW-4</x:v>
      </x:c>
      <x:c r="B27" s="26" t="str">
        <x:v>Rapid Utility Corridor</x:v>
      </x:c>
      <x:c r="C27" s="26" t="n">
        <x:f>COUNTIF('Requirement Matrix'!D27:M27,"&gt;0")</x:f>
        <x:v>9</x:v>
      </x:c>
      <x:c r="D27" s="26" t="n">
        <x:f>IF('Requirement Matrix'!D27&gt;0,IF('Architecture Investment'!D6&lt;Controls!$B$9,1,0),0)+IF('Requirement Matrix'!E27&gt;0,IF('Architecture Investment'!D7&lt;Controls!$B$9,1,0),0)+IF('Requirement Matrix'!F27&gt;0,IF('Architecture Investment'!D8&lt;Controls!$B$9,1,0),0)+IF('Requirement Matrix'!G27&gt;0,IF('Architecture Investment'!D9&lt;Controls!$B$9,1,0),0)+IF('Requirement Matrix'!H27&gt;0,IF('Architecture Investment'!D10&lt;Controls!$B$9,1,0),0)+IF('Requirement Matrix'!I27&gt;0,IF('Architecture Investment'!D11&lt;Controls!$B$9,1,0),0)+IF('Requirement Matrix'!J27&gt;0,IF('Architecture Investment'!D12&lt;Controls!$B$9,1,0),0)+IF('Requirement Matrix'!K27&gt;0,IF('Architecture Investment'!D13&lt;Controls!$B$9,1,0),0)+IF('Requirement Matrix'!L27&gt;0,IF('Architecture Investment'!D14&lt;Controls!$B$9,1,0),0)+IF('Requirement Matrix'!M27&gt;0,IF('Architecture Investment'!D15&lt;Controls!$B$9,1,0),0)</x:f>
        <x:v>9</x:v>
      </x:c>
      <x:c r="E27" s="38" t="n">
        <x:f>('Requirement Matrix'!D27*'Architecture Investment'!D6+'Requirement Matrix'!E27*'Architecture Investment'!D7+'Requirement Matrix'!F27*'Architecture Investment'!D8+'Requirement Matrix'!G27*'Architecture Investment'!D9+'Requirement Matrix'!H27*'Architecture Investment'!D10+'Requirement Matrix'!I27*'Architecture Investment'!D11+'Requirement Matrix'!J27*'Architecture Investment'!D12+'Requirement Matrix'!K27*'Architecture Investment'!D13+'Requirement Matrix'!L27*'Architecture Investment'!D14+'Requirement Matrix'!M27*'Architecture Investment'!D15)/(Controls!$B$9*'Requirement Matrix'!N27)</x:f>
        <x:v>0.18840579710144928</x:v>
      </x:c>
      <x:c r="F27" s="26" t="str">
        <x:f>IF(AND(D27=0,E27&gt;=Controls!$B$10,G27&gt;=3),"ELIGIBLE","BLOCKED")</x:f>
        <x:v>BLOCKED</x:v>
      </x:c>
      <x:c r="G27" s="26" t="n">
        <x:v>1</x:v>
      </x:c>
      <x:c r="H27" s="26" t="str">
        <x:v>A3</x:v>
      </x:c>
      <x:c r="I27" s="26" t="str">
        <x:v>D3</x:v>
      </x:c>
      <x:c r="J27" s="26" t="str">
        <x:f>IF(G27&lt;3,"Close project physics",IF(D27&gt;0,"Close primitive evidence",IF(E27&lt;Controls!$B$10,"Raise weighted closure","Independent rendering review")))</x:f>
        <x:v>Close project physics</x:v>
      </x:c>
    </x:row>
    <x:row r="28">
      <x:c r="A28" s="26" t="str">
        <x:v>BR-2</x:v>
      </x:c>
      <x:c r="B28" s="26" t="str">
        <x:v>Heavy Modular Bridge</x:v>
      </x:c>
      <x:c r="C28" s="26" t="n">
        <x:f>COUNTIF('Requirement Matrix'!D28:M28,"&gt;0")</x:f>
        <x:v>8</x:v>
      </x:c>
      <x:c r="D28" s="26" t="n">
        <x:f>IF('Requirement Matrix'!D28&gt;0,IF('Architecture Investment'!D6&lt;Controls!$B$9,1,0),0)+IF('Requirement Matrix'!E28&gt;0,IF('Architecture Investment'!D7&lt;Controls!$B$9,1,0),0)+IF('Requirement Matrix'!F28&gt;0,IF('Architecture Investment'!D8&lt;Controls!$B$9,1,0),0)+IF('Requirement Matrix'!G28&gt;0,IF('Architecture Investment'!D9&lt;Controls!$B$9,1,0),0)+IF('Requirement Matrix'!H28&gt;0,IF('Architecture Investment'!D10&lt;Controls!$B$9,1,0),0)+IF('Requirement Matrix'!I28&gt;0,IF('Architecture Investment'!D11&lt;Controls!$B$9,1,0),0)+IF('Requirement Matrix'!J28&gt;0,IF('Architecture Investment'!D12&lt;Controls!$B$9,1,0),0)+IF('Requirement Matrix'!K28&gt;0,IF('Architecture Investment'!D13&lt;Controls!$B$9,1,0),0)+IF('Requirement Matrix'!L28&gt;0,IF('Architecture Investment'!D14&lt;Controls!$B$9,1,0),0)+IF('Requirement Matrix'!M28&gt;0,IF('Architecture Investment'!D15&lt;Controls!$B$9,1,0),0)</x:f>
        <x:v>8</x:v>
      </x:c>
      <x:c r="E28" s="38" t="n">
        <x:f>('Requirement Matrix'!D28*'Architecture Investment'!D6+'Requirement Matrix'!E28*'Architecture Investment'!D7+'Requirement Matrix'!F28*'Architecture Investment'!D8+'Requirement Matrix'!G28*'Architecture Investment'!D9+'Requirement Matrix'!H28*'Architecture Investment'!D10+'Requirement Matrix'!I28*'Architecture Investment'!D11+'Requirement Matrix'!J28*'Architecture Investment'!D12+'Requirement Matrix'!K28*'Architecture Investment'!D13+'Requirement Matrix'!L28*'Architecture Investment'!D14+'Requirement Matrix'!M28*'Architecture Investment'!D15)/(Controls!$B$9*'Requirement Matrix'!N28)</x:f>
        <x:v>0.19607843137254902</x:v>
      </x:c>
      <x:c r="F28" s="26" t="str">
        <x:f>IF(AND(D28=0,E28&gt;=Controls!$B$10,G28&gt;=3),"ELIGIBLE","BLOCKED")</x:f>
        <x:v>BLOCKED</x:v>
      </x:c>
      <x:c r="G28" s="26" t="n">
        <x:v>1</x:v>
      </x:c>
      <x:c r="H28" s="26" t="str">
        <x:v>A3</x:v>
      </x:c>
      <x:c r="I28" s="26" t="str">
        <x:v>D3</x:v>
      </x:c>
      <x:c r="J28" s="26" t="str">
        <x:f>IF(G28&lt;3,"Close project physics",IF(D28&gt;0,"Close primitive evidence",IF(E28&lt;Controls!$B$10,"Raise weighted closure","Independent rendering review")))</x:f>
        <x:v>Close project physics</x:v>
      </x:c>
    </x:row>
    <x:row r="29">
      <x:c r="A29" s="26" t="str">
        <x:v>HM-3</x:v>
      </x:c>
      <x:c r="B29" s="26" t="str">
        <x:v>Modular Theater Hospital</x:v>
      </x:c>
      <x:c r="C29" s="26" t="n">
        <x:f>COUNTIF('Requirement Matrix'!D29:M29,"&gt;0")</x:f>
        <x:v>10</x:v>
      </x:c>
      <x:c r="D29" s="26" t="n">
        <x:f>IF('Requirement Matrix'!D29&gt;0,IF('Architecture Investment'!D6&lt;Controls!$B$9,1,0),0)+IF('Requirement Matrix'!E29&gt;0,IF('Architecture Investment'!D7&lt;Controls!$B$9,1,0),0)+IF('Requirement Matrix'!F29&gt;0,IF('Architecture Investment'!D8&lt;Controls!$B$9,1,0),0)+IF('Requirement Matrix'!G29&gt;0,IF('Architecture Investment'!D9&lt;Controls!$B$9,1,0),0)+IF('Requirement Matrix'!H29&gt;0,IF('Architecture Investment'!D10&lt;Controls!$B$9,1,0),0)+IF('Requirement Matrix'!I29&gt;0,IF('Architecture Investment'!D11&lt;Controls!$B$9,1,0),0)+IF('Requirement Matrix'!J29&gt;0,IF('Architecture Investment'!D12&lt;Controls!$B$9,1,0),0)+IF('Requirement Matrix'!K29&gt;0,IF('Architecture Investment'!D13&lt;Controls!$B$9,1,0),0)+IF('Requirement Matrix'!L29&gt;0,IF('Architecture Investment'!D14&lt;Controls!$B$9,1,0),0)+IF('Requirement Matrix'!M29&gt;0,IF('Architecture Investment'!D15&lt;Controls!$B$9,1,0),0)</x:f>
        <x:v>10</x:v>
      </x:c>
      <x:c r="E29" s="38" t="n">
        <x:f>('Requirement Matrix'!D29*'Architecture Investment'!D6+'Requirement Matrix'!E29*'Architecture Investment'!D7+'Requirement Matrix'!F29*'Architecture Investment'!D8+'Requirement Matrix'!G29*'Architecture Investment'!D9+'Requirement Matrix'!H29*'Architecture Investment'!D10+'Requirement Matrix'!I29*'Architecture Investment'!D11+'Requirement Matrix'!J29*'Architecture Investment'!D12+'Requirement Matrix'!K29*'Architecture Investment'!D13+'Requirement Matrix'!L29*'Architecture Investment'!D14+'Requirement Matrix'!M29*'Architecture Investment'!D15)/(Controls!$B$9*'Requirement Matrix'!N29)</x:f>
        <x:v>0.21739130434782608</x:v>
      </x:c>
      <x:c r="F29" s="26" t="str">
        <x:f>IF(AND(D29=0,E29&gt;=Controls!$B$10,G29&gt;=3),"ELIGIBLE","BLOCKED")</x:f>
        <x:v>BLOCKED</x:v>
      </x:c>
      <x:c r="G29" s="26" t="n">
        <x:v>1</x:v>
      </x:c>
      <x:c r="H29" s="26" t="str">
        <x:v>A4</x:v>
      </x:c>
      <x:c r="I29" s="26" t="str">
        <x:v>D3</x:v>
      </x:c>
      <x:c r="J29" s="26" t="str">
        <x:f>IF(G29&lt;3,"Close project physics",IF(D29&gt;0,"Close primitive evidence",IF(E29&lt;Controls!$B$10,"Raise weighted closure","Independent rendering review")))</x:f>
        <x:v>Close project physics</x:v>
      </x:c>
    </x:row>
    <x:row r="30">
      <x:c r="A30" s="26" t="str">
        <x:v>R-4</x:v>
      </x:c>
      <x:c r="B30" s="26" t="str">
        <x:v>Utility Inspection and Repair Robot</x:v>
      </x:c>
      <x:c r="C30" s="26" t="n">
        <x:f>COUNTIF('Requirement Matrix'!D30:M30,"&gt;0")</x:f>
        <x:v>8</x:v>
      </x:c>
      <x:c r="D30" s="26" t="n">
        <x:f>IF('Requirement Matrix'!D30&gt;0,IF('Architecture Investment'!D6&lt;Controls!$B$9,1,0),0)+IF('Requirement Matrix'!E30&gt;0,IF('Architecture Investment'!D7&lt;Controls!$B$9,1,0),0)+IF('Requirement Matrix'!F30&gt;0,IF('Architecture Investment'!D8&lt;Controls!$B$9,1,0),0)+IF('Requirement Matrix'!G30&gt;0,IF('Architecture Investment'!D9&lt;Controls!$B$9,1,0),0)+IF('Requirement Matrix'!H30&gt;0,IF('Architecture Investment'!D10&lt;Controls!$B$9,1,0),0)+IF('Requirement Matrix'!I30&gt;0,IF('Architecture Investment'!D11&lt;Controls!$B$9,1,0),0)+IF('Requirement Matrix'!J30&gt;0,IF('Architecture Investment'!D12&lt;Controls!$B$9,1,0),0)+IF('Requirement Matrix'!K30&gt;0,IF('Architecture Investment'!D13&lt;Controls!$B$9,1,0),0)+IF('Requirement Matrix'!L30&gt;0,IF('Architecture Investment'!D14&lt;Controls!$B$9,1,0),0)+IF('Requirement Matrix'!M30&gt;0,IF('Architecture Investment'!D15&lt;Controls!$B$9,1,0),0)</x:f>
        <x:v>8</x:v>
      </x:c>
      <x:c r="E30" s="38" t="n">
        <x:f>('Requirement Matrix'!D30*'Architecture Investment'!D6+'Requirement Matrix'!E30*'Architecture Investment'!D7+'Requirement Matrix'!F30*'Architecture Investment'!D8+'Requirement Matrix'!G30*'Architecture Investment'!D9+'Requirement Matrix'!H30*'Architecture Investment'!D10+'Requirement Matrix'!I30*'Architecture Investment'!D11+'Requirement Matrix'!J30*'Architecture Investment'!D12+'Requirement Matrix'!K30*'Architecture Investment'!D13+'Requirement Matrix'!L30*'Architecture Investment'!D14+'Requirement Matrix'!M30*'Architecture Investment'!D15)/(Controls!$B$9*'Requirement Matrix'!N30)</x:f>
        <x:v>0.2222222222222222</x:v>
      </x:c>
      <x:c r="F30" s="26" t="str">
        <x:f>IF(AND(D30=0,E30&gt;=Controls!$B$10,G30&gt;=3),"ELIGIBLE","BLOCKED")</x:f>
        <x:v>BLOCKED</x:v>
      </x:c>
      <x:c r="G30" s="26" t="n">
        <x:v>1</x:v>
      </x:c>
      <x:c r="H30" s="26" t="str">
        <x:v>A3</x:v>
      </x:c>
      <x:c r="I30" s="26" t="str">
        <x:v>D3</x:v>
      </x:c>
      <x:c r="J30" s="26" t="str">
        <x:f>IF(G30&lt;3,"Close project physics",IF(D30&gt;0,"Close primitive evidence",IF(E30&lt;Controls!$B$10,"Raise weighted closure","Independent rendering review")))</x:f>
        <x:v>Close project physics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1" hidden="0" customWidth="1"/>
    <x:col min="2" max="2" width="36" hidden="0" customWidth="1"/>
    <x:col min="3" max="3" width="31" hidden="0" customWidth="1"/>
    <x:col min="4" max="4" width="39" hidden="0" customWidth="1"/>
    <x:col min="5" max="5" width="49" hidden="0" customWidth="1"/>
    <x:col min="6" max="6" width="37" hidden="0" customWidth="1"/>
    <x:col min="7" max="7" width="41" hidden="0" customWidth="1"/>
    <x:col min="8" max="8" width="15" hidden="0" customWidth="1"/>
    <x:col min="9" max="9" width="18" hidden="0" customWidth="1"/>
    <x:col min="10" max="10" width="24" hidden="0" customWidth="1"/>
    <x:col min="11" max="11" width="12" hidden="0" customWidth="1"/>
    <x:col min="12" max="12" width="14" hidden="0" customWidth="1"/>
    <x:col min="13" max="13" width="25" hidden="0" customWidth="1"/>
    <x:col min="14" max="14" width="29" hidden="0" customWidth="1"/>
  </x:cols>
  <x:sheetData>
    <x:row r="1">
      <x:c r="A1" s="49" t="str">
        <x:v>Common-mode failure propagation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46"/>
    </x:row>
    <x:row r="2">
      <x:c r="A2" s="47" t="str">
        <x:v>Risk-priority numbers prioritize architecture trials. They are ordinal screening values, not probabilities or expected losses.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</x:row>
    <x:row r="3" ht="3" customHeight="1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</x:row>
    <x:row r="4">
      <x:c r="A4" s="26"/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</x:row>
    <x:row r="5">
      <x:c r="A5" s="25" t="str">
        <x:v>ID</x:v>
      </x:c>
      <x:c r="B5" s="25" t="str">
        <x:v>Initiating failure</x:v>
      </x:c>
      <x:c r="C5" s="25" t="str">
        <x:v>Primitive</x:v>
      </x:c>
      <x:c r="D5" s="25" t="str">
        <x:v>First local effect</x:v>
      </x:c>
      <x:c r="E5" s="25" t="str">
        <x:v>Potential cascade</x:v>
      </x:c>
      <x:c r="F5" s="25" t="str">
        <x:v>Detection</x:v>
      </x:c>
      <x:c r="G5" s="25" t="str">
        <x:v>Local containment</x:v>
      </x:c>
      <x:c r="H5" s="25" t="str">
        <x:v>Likelihood 1–5</x:v>
      </x:c>
      <x:c r="I5" s="25" t="str">
        <x:v>Consequence 1–5</x:v>
      </x:c>
      <x:c r="J5" s="25" t="str">
        <x:v>Detection difficulty 1–5</x:v>
      </x:c>
      <x:c r="K5" s="25" t="str">
        <x:v>RPN</x:v>
      </x:c>
      <x:c r="L5" s="25" t="str">
        <x:v>Critical</x:v>
      </x:c>
      <x:c r="M5" s="25" t="str">
        <x:v>Cross-hazard</x:v>
      </x:c>
      <x:c r="N5" s="25" t="str">
        <x:v>Owner</x:v>
      </x:c>
    </x:row>
    <x:row r="6">
      <x:c r="A6" s="26" t="str">
        <x:v>CM-01</x:v>
      </x:c>
      <x:c r="B6" s="11" t="str">
        <x:v>Clock source spoof or drift</x:v>
      </x:c>
      <x:c r="C6" s="11" t="str">
        <x:v>Observation fabric</x:v>
      </x:c>
      <x:c r="D6" s="11" t="str">
        <x:v>Corrupt event ordering and control timing</x:v>
      </x:c>
      <x:c r="E6" s="11" t="str">
        <x:v>Twins, autonomous fleets, grid protection, evidence chain</x:v>
      </x:c>
      <x:c r="F6" s="11" t="str">
        <x:v>Independent clock comparison</x:v>
      </x:c>
      <x:c r="G6" s="11" t="str">
        <x:v>Reject source; widen uncertainty; local clock</x:v>
      </x:c>
      <x:c r="H6" s="27" t="n">
        <x:v>4</x:v>
      </x:c>
      <x:c r="I6" s="27" t="n">
        <x:v>5</x:v>
      </x:c>
      <x:c r="J6" s="27" t="n">
        <x:v>5</x:v>
      </x:c>
      <x:c r="K6" s="26" t="n">
        <x:f>H6*I6*J6</x:f>
        <x:v>100</x:v>
      </x:c>
      <x:c r="L6" s="26" t="str">
        <x:f>IF(K6&gt;=Controls!$B$11,"CRITICAL","TRACK")</x:f>
        <x:v>CRITICAL</x:v>
      </x:c>
      <x:c r="M6" s="26" t="str">
        <x:v>Fire / flood / power</x:v>
      </x:c>
      <x:c r="N6" s="26" t="str">
        <x:v>Observation fabric</x:v>
      </x:c>
    </x:row>
    <x:row r="7">
      <x:c r="A7" s="26" t="str">
        <x:v>CM-02</x:v>
      </x:c>
      <x:c r="B7" s="11" t="str">
        <x:v>Vertical datum mismatch</x:v>
      </x:c>
      <x:c r="C7" s="11" t="str">
        <x:v>Observation fabric</x:v>
      </x:c>
      <x:c r="D7" s="11" t="str">
        <x:v>Wrong water/ground elevation</x:v>
      </x:c>
      <x:c r="E7" s="11" t="str">
        <x:v>Flood routing, barriers, access, structural state</x:v>
      </x:c>
      <x:c r="F7" s="11" t="str">
        <x:v>Datum and plausibility check</x:v>
      </x:c>
      <x:c r="G7" s="11" t="str">
        <x:v>Quarantine layer; survey locally</x:v>
      </x:c>
      <x:c r="H7" s="27" t="n">
        <x:v>4</x:v>
      </x:c>
      <x:c r="I7" s="27" t="n">
        <x:v>5</x:v>
      </x:c>
      <x:c r="J7" s="27" t="n">
        <x:v>4</x:v>
      </x:c>
      <x:c r="K7" s="26" t="n">
        <x:f>H7*I7*J7</x:f>
        <x:v>80</x:v>
      </x:c>
      <x:c r="L7" s="26" t="str">
        <x:f>IF(K7&gt;=Controls!$B$11,"CRITICAL","TRACK")</x:f>
        <x:v>CRITICAL</x:v>
      </x:c>
      <x:c r="M7" s="26" t="str">
        <x:v>Health / water / logistics</x:v>
      </x:c>
      <x:c r="N7" s="26" t="str">
        <x:v>Observation fabric</x:v>
      </x:c>
    </x:row>
    <x:row r="8">
      <x:c r="A8" s="26" t="str">
        <x:v>CM-03</x:v>
      </x:c>
      <x:c r="B8" s="11" t="str">
        <x:v>Sensor calibration drift</x:v>
      </x:c>
      <x:c r="C8" s="11" t="str">
        <x:v>Observation fabric</x:v>
      </x:c>
      <x:c r="D8" s="11" t="str">
        <x:v>Biased state without obvious outage</x:v>
      </x:c>
      <x:c r="E8" s="11" t="str">
        <x:v>Hazard models, treatment release, structural health</x:v>
      </x:c>
      <x:c r="F8" s="11" t="str">
        <x:v>Cross-sensor residuals and calibration age</x:v>
      </x:c>
      <x:c r="G8" s="11" t="str">
        <x:v>Down-weight; inspect; substitute</x:v>
      </x:c>
      <x:c r="H8" s="27" t="n">
        <x:v>4</x:v>
      </x:c>
      <x:c r="I8" s="27" t="n">
        <x:v>4</x:v>
      </x:c>
      <x:c r="J8" s="27" t="n">
        <x:v>4</x:v>
      </x:c>
      <x:c r="K8" s="26" t="n">
        <x:f>H8*I8*J8</x:f>
        <x:v>64</x:v>
      </x:c>
      <x:c r="L8" s="26" t="str">
        <x:f>IF(K8&gt;=Controls!$B$11,"CRITICAL","TRACK")</x:f>
        <x:v>TRACK</x:v>
      </x:c>
      <x:c r="M8" s="26" t="str">
        <x:v>All services</x:v>
      </x:c>
      <x:c r="N8" s="26" t="str">
        <x:v>Observation fabric</x:v>
      </x:c>
    </x:row>
    <x:row r="9">
      <x:c r="A9" s="26" t="str">
        <x:v>CM-04</x:v>
      </x:c>
      <x:c r="B9" s="11" t="str">
        <x:v>Provenance loss</x:v>
      </x:c>
      <x:c r="C9" s="11" t="str">
        <x:v>Observation fabric</x:v>
      </x:c>
      <x:c r="D9" s="11" t="str">
        <x:v>State cannot be trusted or reproduced</x:v>
      </x:c>
      <x:c r="E9" s="11" t="str">
        <x:v>Every decision and later investigation</x:v>
      </x:c>
      <x:c r="F9" s="11" t="str">
        <x:v>Signature/version gap</x:v>
      </x:c>
      <x:c r="G9" s="11" t="str">
        <x:v>Use local authoritative source; mark unknown</x:v>
      </x:c>
      <x:c r="H9" s="27" t="n">
        <x:v>3</x:v>
      </x:c>
      <x:c r="I9" s="27" t="n">
        <x:v>4</x:v>
      </x:c>
      <x:c r="J9" s="27" t="n">
        <x:v>4</x:v>
      </x:c>
      <x:c r="K9" s="26" t="n">
        <x:f>H9*I9*J9</x:f>
        <x:v>48</x:v>
      </x:c>
      <x:c r="L9" s="26" t="str">
        <x:f>IF(K9&gt;=Controls!$B$11,"CRITICAL","TRACK")</x:f>
        <x:v>TRACK</x:v>
      </x:c>
      <x:c r="M9" s="26" t="str">
        <x:v>Fire / flood / power</x:v>
      </x:c>
      <x:c r="N9" s="26" t="str">
        <x:v>Observation fabric</x:v>
      </x:c>
    </x:row>
    <x:row r="10">
      <x:c r="A10" s="26" t="str">
        <x:v>CM-05</x:v>
      </x:c>
      <x:c r="B10" s="11" t="str">
        <x:v>Correlated model bias</x:v>
      </x:c>
      <x:c r="C10" s="11" t="str">
        <x:v>Causal digital twin</x:v>
      </x:c>
      <x:c r="D10" s="11" t="str">
        <x:v>Confident wrong forecast across services</x:v>
      </x:c>
      <x:c r="E10" s="11" t="str">
        <x:v>Staging, evacuation, resource allocation and hazard control</x:v>
      </x:c>
      <x:c r="F10" s="11" t="str">
        <x:v>Tournament residuals and out-of-distribution monitor</x:v>
      </x:c>
      <x:c r="G10" s="11" t="str">
        <x:v>Expose alternatives; revert to bounded rules</x:v>
      </x:c>
      <x:c r="H10" s="27" t="n">
        <x:v>4</x:v>
      </x:c>
      <x:c r="I10" s="27" t="n">
        <x:v>5</x:v>
      </x:c>
      <x:c r="J10" s="27" t="n">
        <x:v>5</x:v>
      </x:c>
      <x:c r="K10" s="26" t="n">
        <x:f>H10*I10*J10</x:f>
        <x:v>100</x:v>
      </x:c>
      <x:c r="L10" s="26" t="str">
        <x:f>IF(K10&gt;=Controls!$B$11,"CRITICAL","TRACK")</x:f>
        <x:v>CRITICAL</x:v>
      </x:c>
      <x:c r="M10" s="26" t="str">
        <x:v>Health / water / logistics</x:v>
      </x:c>
      <x:c r="N10" s="26" t="str">
        <x:v>Causal digital twin</x:v>
      </x:c>
    </x:row>
    <x:row r="11">
      <x:c r="A11" s="26" t="str">
        <x:v>CM-06</x:v>
      </x:c>
      <x:c r="B11" s="11" t="str">
        <x:v>Optimization exploits model error</x:v>
      </x:c>
      <x:c r="C11" s="11" t="str">
        <x:v>Causal digital twin</x:v>
      </x:c>
      <x:c r="D11" s="11" t="str">
        <x:v>Recommended action looks optimal but causes harm</x:v>
      </x:c>
      <x:c r="E11" s="11" t="str">
        <x:v>Water release, fire attack, grid allocation, access</x:v>
      </x:c>
      <x:c r="F11" s="11" t="str">
        <x:v>Counterfactual stress and red-team scenario</x:v>
      </x:c>
      <x:c r="G11" s="11" t="str">
        <x:v>Human veto; conservative constraint set</x:v>
      </x:c>
      <x:c r="H11" s="27" t="n">
        <x:v>3</x:v>
      </x:c>
      <x:c r="I11" s="27" t="n">
        <x:v>5</x:v>
      </x:c>
      <x:c r="J11" s="27" t="n">
        <x:v>5</x:v>
      </x:c>
      <x:c r="K11" s="26" t="n">
        <x:f>H11*I11*J11</x:f>
        <x:v>75</x:v>
      </x:c>
      <x:c r="L11" s="26" t="str">
        <x:f>IF(K11&gt;=Controls!$B$11,"CRITICAL","TRACK")</x:f>
        <x:v>CRITICAL</x:v>
      </x:c>
      <x:c r="M11" s="26" t="str">
        <x:v>All services</x:v>
      </x:c>
      <x:c r="N11" s="26" t="str">
        <x:v>Causal digital twin</x:v>
      </x:c>
    </x:row>
    <x:row r="12">
      <x:c r="A12" s="26" t="str">
        <x:v>CM-07</x:v>
      </x:c>
      <x:c r="B12" s="11" t="str">
        <x:v>Model/component unit mismatch</x:v>
      </x:c>
      <x:c r="C12" s="11" t="str">
        <x:v>Causal digital twin</x:v>
      </x:c>
      <x:c r="D12" s="11" t="str">
        <x:v>Silent scaling or sign error</x:v>
      </x:c>
      <x:c r="E12" s="11" t="str">
        <x:v>Coupled Earth-infrastructure-population model</x:v>
      </x:c>
      <x:c r="F12" s="11" t="str">
        <x:v>Schema/unit validation</x:v>
      </x:c>
      <x:c r="G12" s="11" t="str">
        <x:v>Refuse connection</x:v>
      </x:c>
      <x:c r="H12" s="27" t="n">
        <x:v>3</x:v>
      </x:c>
      <x:c r="I12" s="27" t="n">
        <x:v>5</x:v>
      </x:c>
      <x:c r="J12" s="27" t="n">
        <x:v>3</x:v>
      </x:c>
      <x:c r="K12" s="26" t="n">
        <x:f>H12*I12*J12</x:f>
        <x:v>45</x:v>
      </x:c>
      <x:c r="L12" s="26" t="str">
        <x:f>IF(K12&gt;=Controls!$B$11,"CRITICAL","TRACK")</x:f>
        <x:v>TRACK</x:v>
      </x:c>
      <x:c r="M12" s="26" t="str">
        <x:v>Fire / flood / power</x:v>
      </x:c>
      <x:c r="N12" s="26" t="str">
        <x:v>Causal digital twin</x:v>
      </x:c>
    </x:row>
    <x:row r="13">
      <x:c r="A13" s="26" t="str">
        <x:v>CM-08</x:v>
      </x:c>
      <x:c r="B13" s="11" t="str">
        <x:v>Stale model configuration</x:v>
      </x:c>
      <x:c r="C13" s="11" t="str">
        <x:v>Causal digital twin</x:v>
      </x:c>
      <x:c r="D13" s="11" t="str">
        <x:v>Decision uses obsolete topology or population</x:v>
      </x:c>
      <x:c r="E13" s="11" t="str">
        <x:v>All mission planning</x:v>
      </x:c>
      <x:c r="F13" s="11" t="str">
        <x:v>Version/age policy</x:v>
      </x:c>
      <x:c r="G13" s="11" t="str">
        <x:v>Mark stale; resurvey; bounded fallback</x:v>
      </x:c>
      <x:c r="H13" s="27" t="n">
        <x:v>4</x:v>
      </x:c>
      <x:c r="I13" s="27" t="n">
        <x:v>4</x:v>
      </x:c>
      <x:c r="J13" s="27" t="n">
        <x:v>3</x:v>
      </x:c>
      <x:c r="K13" s="26" t="n">
        <x:f>H13*I13*J13</x:f>
        <x:v>48</x:v>
      </x:c>
      <x:c r="L13" s="26" t="str">
        <x:f>IF(K13&gt;=Controls!$B$11,"CRITICAL","TRACK")</x:f>
        <x:v>TRACK</x:v>
      </x:c>
      <x:c r="M13" s="26" t="str">
        <x:v>Health / water / logistics</x:v>
      </x:c>
      <x:c r="N13" s="26" t="str">
        <x:v>Causal digital twin</x:v>
      </x:c>
    </x:row>
    <x:row r="14">
      <x:c r="A14" s="26" t="str">
        <x:v>CM-09</x:v>
      </x:c>
      <x:c r="B14" s="11" t="str">
        <x:v>Fleet-wide perception failure</x:v>
      </x:c>
      <x:c r="C14" s="11" t="str">
        <x:v>Extreme-environment autonomy</x:v>
      </x:c>
      <x:c r="D14" s="11" t="str">
        <x:v>Many machines misclassify same terrain/person</x:v>
      </x:c>
      <x:c r="E14" s="11" t="str">
        <x:v>Route opening, rescue, line building and repair</x:v>
      </x:c>
      <x:c r="F14" s="11" t="str">
        <x:v>Diverse sensor/model disagreement</x:v>
      </x:c>
      <x:c r="G14" s="11" t="str">
        <x:v>Stop affected behavior; supervised mode</x:v>
      </x:c>
      <x:c r="H14" s="27" t="n">
        <x:v>4</x:v>
      </x:c>
      <x:c r="I14" s="27" t="n">
        <x:v>5</x:v>
      </x:c>
      <x:c r="J14" s="27" t="n">
        <x:v>5</x:v>
      </x:c>
      <x:c r="K14" s="26" t="n">
        <x:f>H14*I14*J14</x:f>
        <x:v>100</x:v>
      </x:c>
      <x:c r="L14" s="26" t="str">
        <x:f>IF(K14&gt;=Controls!$B$11,"CRITICAL","TRACK")</x:f>
        <x:v>CRITICAL</x:v>
      </x:c>
      <x:c r="M14" s="26" t="str">
        <x:v>All services</x:v>
      </x:c>
      <x:c r="N14" s="26" t="str">
        <x:v>Extreme-environment autonomy</x:v>
      </x:c>
    </x:row>
    <x:row r="15">
      <x:c r="A15" s="26" t="str">
        <x:v>CM-10</x:v>
      </x:c>
      <x:c r="B15" s="11" t="str">
        <x:v>Lost-link policy conflict</x:v>
      </x:c>
      <x:c r="C15" s="11" t="str">
        <x:v>Extreme-environment autonomy</x:v>
      </x:c>
      <x:c r="D15" s="11" t="str">
        <x:v>Machines take incompatible fallback actions</x:v>
      </x:c>
      <x:c r="E15" s="11" t="str">
        <x:v>Mixed air/ground/water operations</x:v>
      </x:c>
      <x:c r="F15" s="11" t="str">
        <x:v>Injected link-loss conformance trial</x:v>
      </x:c>
      <x:c r="G15" s="11" t="str">
        <x:v>Local stop/hold and human recovery</x:v>
      </x:c>
      <x:c r="H15" s="27" t="n">
        <x:v>4</x:v>
      </x:c>
      <x:c r="I15" s="27" t="n">
        <x:v>5</x:v>
      </x:c>
      <x:c r="J15" s="27" t="n">
        <x:v>4</x:v>
      </x:c>
      <x:c r="K15" s="26" t="n">
        <x:f>H15*I15*J15</x:f>
        <x:v>80</x:v>
      </x:c>
      <x:c r="L15" s="26" t="str">
        <x:f>IF(K15&gt;=Controls!$B$11,"CRITICAL","TRACK")</x:f>
        <x:v>CRITICAL</x:v>
      </x:c>
      <x:c r="M15" s="26" t="str">
        <x:v>Fire / flood / power</x:v>
      </x:c>
      <x:c r="N15" s="26" t="str">
        <x:v>Extreme-environment autonomy</x:v>
      </x:c>
    </x:row>
    <x:row r="16">
      <x:c r="A16" s="26" t="str">
        <x:v>CM-11</x:v>
      </x:c>
      <x:c r="B16" s="11" t="str">
        <x:v>Authority token replay</x:v>
      </x:c>
      <x:c r="C16" s="11" t="str">
        <x:v>Extreme-environment autonomy</x:v>
      </x:c>
      <x:c r="D16" s="11" t="str">
        <x:v>Expired command continues high-energy action</x:v>
      </x:c>
      <x:c r="E16" s="11" t="str">
        <x:v>Pumps, grid switching, demolition, aviation</x:v>
      </x:c>
      <x:c r="F16" s="11" t="str">
        <x:v>Nonce/time/zone validation</x:v>
      </x:c>
      <x:c r="G16" s="11" t="str">
        <x:v>Fail closed; physical inhibit</x:v>
      </x:c>
      <x:c r="H16" s="27" t="n">
        <x:v>3</x:v>
      </x:c>
      <x:c r="I16" s="27" t="n">
        <x:v>5</x:v>
      </x:c>
      <x:c r="J16" s="27" t="n">
        <x:v>4</x:v>
      </x:c>
      <x:c r="K16" s="26" t="n">
        <x:f>H16*I16*J16</x:f>
        <x:v>60</x:v>
      </x:c>
      <x:c r="L16" s="26" t="str">
        <x:f>IF(K16&gt;=Controls!$B$11,"CRITICAL","TRACK")</x:f>
        <x:v>TRACK</x:v>
      </x:c>
      <x:c r="M16" s="26" t="str">
        <x:v>Health / water / logistics</x:v>
      </x:c>
      <x:c r="N16" s="26" t="str">
        <x:v>Extreme-environment autonomy</x:v>
      </x:c>
    </x:row>
    <x:row r="17">
      <x:c r="A17" s="26" t="str">
        <x:v>CM-12</x:v>
      </x:c>
      <x:c r="B17" s="11" t="str">
        <x:v>Unsafe takeover latency</x:v>
      </x:c>
      <x:c r="C17" s="11" t="str">
        <x:v>Extreme-environment autonomy</x:v>
      </x:c>
      <x:c r="D17" s="11" t="str">
        <x:v>Human cannot regain control before consequence</x:v>
      </x:c>
      <x:c r="E17" s="11" t="str">
        <x:v>Heavy machines, aircraft, clinical/logistics systems</x:v>
      </x:c>
      <x:c r="F17" s="11" t="str">
        <x:v>Measured alert-to-control trial</x:v>
      </x:c>
      <x:c r="G17" s="11" t="str">
        <x:v>Independent emergency stop</x:v>
      </x:c>
      <x:c r="H17" s="27" t="n">
        <x:v>3</x:v>
      </x:c>
      <x:c r="I17" s="27" t="n">
        <x:v>5</x:v>
      </x:c>
      <x:c r="J17" s="27" t="n">
        <x:v>5</x:v>
      </x:c>
      <x:c r="K17" s="26" t="n">
        <x:f>H17*I17*J17</x:f>
        <x:v>75</x:v>
      </x:c>
      <x:c r="L17" s="26" t="str">
        <x:f>IF(K17&gt;=Controls!$B$11,"CRITICAL","TRACK")</x:f>
        <x:v>CRITICAL</x:v>
      </x:c>
      <x:c r="M17" s="26" t="str">
        <x:v>All services</x:v>
      </x:c>
      <x:c r="N17" s="26" t="str">
        <x:v>Extreme-environment autonomy</x:v>
      </x:c>
    </x:row>
    <x:row r="18">
      <x:c r="A18" s="26" t="str">
        <x:v>CM-13</x:v>
      </x:c>
      <x:c r="B18" s="11" t="str">
        <x:v>Electrical protection mismatch</x:v>
      </x:c>
      <x:c r="C18" s="11" t="str">
        <x:v>Mobile power/fluid/thermal bus</x:v>
      </x:c>
      <x:c r="D18" s="11" t="str">
        <x:v>Fault not cleared or healthy islands trip</x:v>
      </x:c>
      <x:c r="E18" s="11" t="str">
        <x:v>Hospitals, water plants, shelters, communications</x:v>
      </x:c>
      <x:c r="F18" s="11" t="str">
        <x:v>Protection profile and hardware-in-loop fault</x:v>
      </x:c>
      <x:c r="G18" s="11" t="str">
        <x:v>Isolate module; manual sectionalize</x:v>
      </x:c>
      <x:c r="H18" s="27" t="n">
        <x:v>4</x:v>
      </x:c>
      <x:c r="I18" s="27" t="n">
        <x:v>5</x:v>
      </x:c>
      <x:c r="J18" s="27" t="n">
        <x:v>4</x:v>
      </x:c>
      <x:c r="K18" s="26" t="n">
        <x:f>H18*I18*J18</x:f>
        <x:v>80</x:v>
      </x:c>
      <x:c r="L18" s="26" t="str">
        <x:f>IF(K18&gt;=Controls!$B$11,"CRITICAL","TRACK")</x:f>
        <x:v>CRITICAL</x:v>
      </x:c>
      <x:c r="M18" s="26" t="str">
        <x:v>Fire / flood / power</x:v>
      </x:c>
      <x:c r="N18" s="26" t="str">
        <x:v>Mobile power/fluid/thermal bus</x:v>
      </x:c>
    </x:row>
    <x:row r="19">
      <x:c r="A19" s="26" t="str">
        <x:v>CM-14</x:v>
      </x:c>
      <x:c r="B19" s="11" t="str">
        <x:v>Fluid cross-connection</x:v>
      </x:c>
      <x:c r="C19" s="11" t="str">
        <x:v>Mobile power/fluid/thermal bus</x:v>
      </x:c>
      <x:c r="D19" s="11" t="str">
        <x:v>Potable/medical/process stream contaminated</x:v>
      </x:c>
      <x:c r="E19" s="11" t="str">
        <x:v>Water, health, shelter and decon</x:v>
      </x:c>
      <x:c r="F19" s="11" t="str">
        <x:v>Physical key plus media identity check</x:v>
      </x:c>
      <x:c r="G19" s="11" t="str">
        <x:v>Breakaway/isolate; sample; flush</x:v>
      </x:c>
      <x:c r="H19" s="27" t="n">
        <x:v>3</x:v>
      </x:c>
      <x:c r="I19" s="27" t="n">
        <x:v>5</x:v>
      </x:c>
      <x:c r="J19" s="27" t="n">
        <x:v>5</x:v>
      </x:c>
      <x:c r="K19" s="26" t="n">
        <x:f>H19*I19*J19</x:f>
        <x:v>75</x:v>
      </x:c>
      <x:c r="L19" s="26" t="str">
        <x:f>IF(K19&gt;=Controls!$B$11,"CRITICAL","TRACK")</x:f>
        <x:v>CRITICAL</x:v>
      </x:c>
      <x:c r="M19" s="26" t="str">
        <x:v>Health / water / logistics</x:v>
      </x:c>
      <x:c r="N19" s="26" t="str">
        <x:v>Mobile power/fluid/thermal bus</x:v>
      </x:c>
    </x:row>
    <x:row r="20">
      <x:c r="A20" s="26" t="str">
        <x:v>CM-15</x:v>
      </x:c>
      <x:c r="B20" s="11" t="str">
        <x:v>Pressure/thermal transient</x:v>
      </x:c>
      <x:c r="C20" s="11" t="str">
        <x:v>Mobile power/fluid/thermal bus</x:v>
      </x:c>
      <x:c r="D20" s="11" t="str">
        <x:v>Pipe, vessel, seal or thermal loop damage</x:v>
      </x:c>
      <x:c r="E20" s="11" t="str">
        <x:v>Water, flood, cooling and medical utilities</x:v>
      </x:c>
      <x:c r="F20" s="11" t="str">
        <x:v>High-rate transient instrumentation</x:v>
      </x:c>
      <x:c r="G20" s="11" t="str">
        <x:v>Relief, bypass, staged restart</x:v>
      </x:c>
      <x:c r="H20" s="27" t="n">
        <x:v>4</x:v>
      </x:c>
      <x:c r="I20" s="27" t="n">
        <x:v>5</x:v>
      </x:c>
      <x:c r="J20" s="27" t="n">
        <x:v>4</x:v>
      </x:c>
      <x:c r="K20" s="26" t="n">
        <x:f>H20*I20*J20</x:f>
        <x:v>80</x:v>
      </x:c>
      <x:c r="L20" s="26" t="str">
        <x:f>IF(K20&gt;=Controls!$B$11,"CRITICAL","TRACK")</x:f>
        <x:v>CRITICAL</x:v>
      </x:c>
      <x:c r="M20" s="26" t="str">
        <x:v>All services</x:v>
      </x:c>
      <x:c r="N20" s="26" t="str">
        <x:v>Mobile power/fluid/thermal bus</x:v>
      </x:c>
    </x:row>
    <x:row r="21">
      <x:c r="A21" s="26" t="str">
        <x:v>CM-16</x:v>
      </x:c>
      <x:c r="B21" s="11" t="str">
        <x:v>Shared connector defect</x:v>
      </x:c>
      <x:c r="C21" s="11" t="str">
        <x:v>Mobile power/fluid/thermal bus</x:v>
      </x:c>
      <x:c r="D21" s="11" t="str">
        <x:v>Multiple formations lose utility interfaces</x:v>
      </x:c>
      <x:c r="E21" s="11" t="str">
        <x:v>All modular systems</x:v>
      </x:c>
      <x:c r="F21" s="11" t="str">
        <x:v>Lot surveillance and alternate design</x:v>
      </x:c>
      <x:c r="G21" s="11" t="str">
        <x:v>Quarantine lot; field adapter</x:v>
      </x:c>
      <x:c r="H21" s="27" t="n">
        <x:v>3</x:v>
      </x:c>
      <x:c r="I21" s="27" t="n">
        <x:v>5</x:v>
      </x:c>
      <x:c r="J21" s="27" t="n">
        <x:v>4</x:v>
      </x:c>
      <x:c r="K21" s="26" t="n">
        <x:f>H21*I21*J21</x:f>
        <x:v>60</x:v>
      </x:c>
      <x:c r="L21" s="26" t="str">
        <x:f>IF(K21&gt;=Controls!$B$11,"CRITICAL","TRACK")</x:f>
        <x:v>TRACK</x:v>
      </x:c>
      <x:c r="M21" s="26" t="str">
        <x:v>Fire / flood / power</x:v>
      </x:c>
      <x:c r="N21" s="26" t="str">
        <x:v>Mobile power/fluid/thermal bus</x:v>
      </x:c>
    </x:row>
    <x:row r="22">
      <x:c r="A22" s="26" t="str">
        <x:v>CM-17</x:v>
      </x:c>
      <x:c r="B22" s="11" t="str">
        <x:v>Undetected contaminant breakthrough</x:v>
      </x:c>
      <x:c r="C22" s="11" t="str">
        <x:v>Advanced separations</x:v>
      </x:c>
      <x:c r="D22" s="11" t="str">
        <x:v>Unsafe product released</x:v>
      </x:c>
      <x:c r="E22" s="11" t="str">
        <x:v>Water, medical, shelter and food</x:v>
      </x:c>
      <x:c r="F22" s="11" t="str">
        <x:v>Orthogonal continuous/sample measurement</x:v>
      </x:c>
      <x:c r="G22" s="11" t="str">
        <x:v>Automatic hold and divert</x:v>
      </x:c>
      <x:c r="H22" s="27" t="n">
        <x:v>3</x:v>
      </x:c>
      <x:c r="I22" s="27" t="n">
        <x:v>5</x:v>
      </x:c>
      <x:c r="J22" s="27" t="n">
        <x:v>5</x:v>
      </x:c>
      <x:c r="K22" s="26" t="n">
        <x:f>H22*I22*J22</x:f>
        <x:v>75</x:v>
      </x:c>
      <x:c r="L22" s="26" t="str">
        <x:f>IF(K22&gt;=Controls!$B$11,"CRITICAL","TRACK")</x:f>
        <x:v>CRITICAL</x:v>
      </x:c>
      <x:c r="M22" s="26" t="str">
        <x:v>Health / water / logistics</x:v>
      </x:c>
      <x:c r="N22" s="26" t="str">
        <x:v>Advanced separations</x:v>
      </x:c>
    </x:row>
    <x:row r="23">
      <x:c r="A23" s="26" t="str">
        <x:v>CM-18</x:v>
      </x:c>
      <x:c r="B23" s="11" t="str">
        <x:v>Media exhaustion earlier than model</x:v>
      </x:c>
      <x:c r="C23" s="11" t="str">
        <x:v>Advanced separations</x:v>
      </x:c>
      <x:c r="D23" s="11" t="str">
        <x:v>Capacity collapses during campaign</x:v>
      </x:c>
      <x:c r="E23" s="11" t="str">
        <x:v>Water, air and waste treatment</x:v>
      </x:c>
      <x:c r="F23" s="11" t="str">
        <x:v>Loading indicator and mass balance</x:v>
      </x:c>
      <x:c r="G23" s="11" t="str">
        <x:v>Parallel train; reduced envelope</x:v>
      </x:c>
      <x:c r="H23" s="27" t="n">
        <x:v>4</x:v>
      </x:c>
      <x:c r="I23" s="27" t="n">
        <x:v>4</x:v>
      </x:c>
      <x:c r="J23" s="27" t="n">
        <x:v>4</x:v>
      </x:c>
      <x:c r="K23" s="26" t="n">
        <x:f>H23*I23*J23</x:f>
        <x:v>64</x:v>
      </x:c>
      <x:c r="L23" s="26" t="str">
        <x:f>IF(K23&gt;=Controls!$B$11,"CRITICAL","TRACK")</x:f>
        <x:v>TRACK</x:v>
      </x:c>
      <x:c r="M23" s="26" t="str">
        <x:v>All services</x:v>
      </x:c>
      <x:c r="N23" s="26" t="str">
        <x:v>Advanced separations</x:v>
      </x:c>
    </x:row>
    <x:row r="24">
      <x:c r="A24" s="26" t="str">
        <x:v>CM-19</x:v>
      </x:c>
      <x:c r="B24" s="11" t="str">
        <x:v>Residual disposal route unavailable</x:v>
      </x:c>
      <x:c r="C24" s="11" t="str">
        <x:v>Advanced separations</x:v>
      </x:c>
      <x:c r="D24" s="11" t="str">
        <x:v>Treatment stops or exports hazard</x:v>
      </x:c>
      <x:c r="E24" s="11" t="str">
        <x:v>Water, decon, medical and food systems</x:v>
      </x:c>
      <x:c r="F24" s="11" t="str">
        <x:v>Disposition status and storage forecast</x:v>
      </x:c>
      <x:c r="G24" s="11" t="str">
        <x:v>Store, recover or change process</x:v>
      </x:c>
      <x:c r="H24" s="27" t="n">
        <x:v>4</x:v>
      </x:c>
      <x:c r="I24" s="27" t="n">
        <x:v>4</x:v>
      </x:c>
      <x:c r="J24" s="27" t="n">
        <x:v>3</x:v>
      </x:c>
      <x:c r="K24" s="26" t="n">
        <x:f>H24*I24*J24</x:f>
        <x:v>48</x:v>
      </x:c>
      <x:c r="L24" s="26" t="str">
        <x:f>IF(K24&gt;=Controls!$B$11,"CRITICAL","TRACK")</x:f>
        <x:v>TRACK</x:v>
      </x:c>
      <x:c r="M24" s="26" t="str">
        <x:v>Fire / flood / power</x:v>
      </x:c>
      <x:c r="N24" s="26" t="str">
        <x:v>Advanced separations</x:v>
      </x:c>
    </x:row>
    <x:row r="25">
      <x:c r="A25" s="26" t="str">
        <x:v>CM-20</x:v>
      </x:c>
      <x:c r="B25" s="11" t="str">
        <x:v>Fabrication file/version mismatch</x:v>
      </x:c>
      <x:c r="C25" s="11" t="str">
        <x:v>Rapid infrastructure fabrication</x:v>
      </x:c>
      <x:c r="D25" s="11" t="str">
        <x:v>Wrong geometry or load case built</x:v>
      </x:c>
      <x:c r="E25" s="11" t="str">
        <x:v>Bridges, barriers, pipe, pads and shelter</x:v>
      </x:c>
      <x:c r="F25" s="11" t="str">
        <x:v>Signed package and machine preflight</x:v>
      </x:c>
      <x:c r="G25" s="11" t="str">
        <x:v>Stop, quarantine, inspect</x:v>
      </x:c>
      <x:c r="H25" s="27" t="n">
        <x:v>3</x:v>
      </x:c>
      <x:c r="I25" s="27" t="n">
        <x:v>5</x:v>
      </x:c>
      <x:c r="J25" s="27" t="n">
        <x:v>5</x:v>
      </x:c>
      <x:c r="K25" s="26" t="n">
        <x:f>H25*I25*J25</x:f>
        <x:v>75</x:v>
      </x:c>
      <x:c r="L25" s="26" t="str">
        <x:f>IF(K25&gt;=Controls!$B$11,"CRITICAL","TRACK")</x:f>
        <x:v>CRITICAL</x:v>
      </x:c>
      <x:c r="M25" s="26" t="str">
        <x:v>Health / water / logistics</x:v>
      </x:c>
      <x:c r="N25" s="26" t="str">
        <x:v>Rapid infrastructure fabrication</x:v>
      </x:c>
    </x:row>
    <x:row r="26">
      <x:c r="A26" s="26" t="str">
        <x:v>CM-21</x:v>
      </x:c>
      <x:c r="B26" s="11" t="str">
        <x:v>Site condition outside design</x:v>
      </x:c>
      <x:c r="C26" s="11" t="str">
        <x:v>Rapid infrastructure fabrication</x:v>
      </x:c>
      <x:c r="D26" s="11" t="str">
        <x:v>Foundation or anchorage fails</x:v>
      </x:c>
      <x:c r="E26" s="11" t="str">
        <x:v>Every temporary structure/utility corridor</x:v>
      </x:c>
      <x:c r="F26" s="11" t="str">
        <x:v>Survey and proof-load variance</x:v>
      </x:c>
      <x:c r="G26" s="11" t="str">
        <x:v>Reconfigure, reinforce or relocate</x:v>
      </x:c>
      <x:c r="H26" s="27" t="n">
        <x:v>4</x:v>
      </x:c>
      <x:c r="I26" s="27" t="n">
        <x:v>5</x:v>
      </x:c>
      <x:c r="J26" s="27" t="n">
        <x:v>4</x:v>
      </x:c>
      <x:c r="K26" s="26" t="n">
        <x:f>H26*I26*J26</x:f>
        <x:v>80</x:v>
      </x:c>
      <x:c r="L26" s="26" t="str">
        <x:f>IF(K26&gt;=Controls!$B$11,"CRITICAL","TRACK")</x:f>
        <x:v>CRITICAL</x:v>
      </x:c>
      <x:c r="M26" s="26" t="str">
        <x:v>All services</x:v>
      </x:c>
      <x:c r="N26" s="26" t="str">
        <x:v>Rapid infrastructure fabrication</x:v>
      </x:c>
    </x:row>
    <x:row r="27">
      <x:c r="A27" s="26" t="str">
        <x:v>CM-22</x:v>
      </x:c>
      <x:c r="B27" s="11" t="str">
        <x:v>Hidden material damage</x:v>
      </x:c>
      <x:c r="C27" s="11" t="str">
        <x:v>Adaptive structures/materials</x:v>
      </x:c>
      <x:c r="D27" s="11" t="str">
        <x:v>False-safe structural state</x:v>
      </x:c>
      <x:c r="E27" s="11" t="str">
        <x:v>Bridges, ships, aircraft, barriers and shoring</x:v>
      </x:c>
      <x:c r="F27" s="11" t="str">
        <x:v>Independent NDE/health signal comparison</x:v>
      </x:c>
      <x:c r="G27" s="11" t="str">
        <x:v>Derate and replace</x:v>
      </x:c>
      <x:c r="H27" s="27" t="n">
        <x:v>3</x:v>
      </x:c>
      <x:c r="I27" s="27" t="n">
        <x:v>5</x:v>
      </x:c>
      <x:c r="J27" s="27" t="n">
        <x:v>5</x:v>
      </x:c>
      <x:c r="K27" s="26" t="n">
        <x:f>H27*I27*J27</x:f>
        <x:v>75</x:v>
      </x:c>
      <x:c r="L27" s="26" t="str">
        <x:f>IF(K27&gt;=Controls!$B$11,"CRITICAL","TRACK")</x:f>
        <x:v>CRITICAL</x:v>
      </x:c>
      <x:c r="M27" s="26" t="str">
        <x:v>Fire / flood / power</x:v>
      </x:c>
      <x:c r="N27" s="26" t="str">
        <x:v>Adaptive structures/materials</x:v>
      </x:c>
    </x:row>
    <x:row r="28">
      <x:c r="A28" s="26" t="str">
        <x:v>CM-23</x:v>
      </x:c>
      <x:c r="B28" s="11" t="str">
        <x:v>Sensor-health false negative</x:v>
      </x:c>
      <x:c r="C28" s="11" t="str">
        <x:v>Adaptive structures/materials</x:v>
      </x:c>
      <x:c r="D28" s="11" t="str">
        <x:v>Damage remains invisible</x:v>
      </x:c>
      <x:c r="E28" s="11" t="str">
        <x:v>All adaptive structures</x:v>
      </x:c>
      <x:c r="F28" s="11" t="str">
        <x:v>Known-defect blind trial</x:v>
      </x:c>
      <x:c r="G28" s="11" t="str">
        <x:v>Conservative inspection interval</x:v>
      </x:c>
      <x:c r="H28" s="27" t="n">
        <x:v>3</x:v>
      </x:c>
      <x:c r="I28" s="27" t="n">
        <x:v>5</x:v>
      </x:c>
      <x:c r="J28" s="27" t="n">
        <x:v>5</x:v>
      </x:c>
      <x:c r="K28" s="26" t="n">
        <x:f>H28*I28*J28</x:f>
        <x:v>75</x:v>
      </x:c>
      <x:c r="L28" s="26" t="str">
        <x:f>IF(K28&gt;=Controls!$B$11,"CRITICAL","TRACK")</x:f>
        <x:v>CRITICAL</x:v>
      </x:c>
      <x:c r="M28" s="26" t="str">
        <x:v>Health / water / logistics</x:v>
      </x:c>
      <x:c r="N28" s="26" t="str">
        <x:v>Adaptive structures/materials</x:v>
      </x:c>
    </x:row>
    <x:row r="29">
      <x:c r="A29" s="26" t="str">
        <x:v>CM-24</x:v>
      </x:c>
      <x:c r="B29" s="11" t="str">
        <x:v>Batch release error</x:v>
      </x:c>
      <x:c r="C29" s="11" t="str">
        <x:v>Distributed biomanufacturing</x:v>
      </x:c>
      <x:c r="D29" s="11" t="str">
        <x:v>Unsafe or ineffective product distributed</x:v>
      </x:c>
      <x:c r="E29" s="11" t="str">
        <x:v>Medical care and population health</x:v>
      </x:c>
      <x:c r="F29" s="11" t="str">
        <x:v>Independent assay and chain of custody</x:v>
      </x:c>
      <x:c r="G29" s="11" t="str">
        <x:v>Hold/recall and alternate supply</x:v>
      </x:c>
      <x:c r="H29" s="27" t="n">
        <x:v>3</x:v>
      </x:c>
      <x:c r="I29" s="27" t="n">
        <x:v>5</x:v>
      </x:c>
      <x:c r="J29" s="27" t="n">
        <x:v>5</x:v>
      </x:c>
      <x:c r="K29" s="26" t="n">
        <x:f>H29*I29*J29</x:f>
        <x:v>75</x:v>
      </x:c>
      <x:c r="L29" s="26" t="str">
        <x:f>IF(K29&gt;=Controls!$B$11,"CRITICAL","TRACK")</x:f>
        <x:v>CRITICAL</x:v>
      </x:c>
      <x:c r="M29" s="26" t="str">
        <x:v>All services</x:v>
      </x:c>
      <x:c r="N29" s="26" t="str">
        <x:v>Distributed biomanufacturing</x:v>
      </x:c>
    </x:row>
    <x:row r="30">
      <x:c r="A30" s="26" t="str">
        <x:v>CM-25</x:v>
      </x:c>
      <x:c r="B30" s="11" t="str">
        <x:v>Incomplete decontamination on switch</x:v>
      </x:c>
      <x:c r="C30" s="11" t="str">
        <x:v>Distributed biomanufacturing</x:v>
      </x:c>
      <x:c r="D30" s="11" t="str">
        <x:v>Cross-product contamination</x:v>
      </x:c>
      <x:c r="E30" s="11" t="str">
        <x:v>Distributed production network</x:v>
      </x:c>
      <x:c r="F30" s="11" t="str">
        <x:v>Swab/assay and clearance protocol</x:v>
      </x:c>
      <x:c r="G30" s="11" t="str">
        <x:v>Extended clean/replace flow path</x:v>
      </x:c>
      <x:c r="H30" s="27" t="n">
        <x:v>3</x:v>
      </x:c>
      <x:c r="I30" s="27" t="n">
        <x:v>5</x:v>
      </x:c>
      <x:c r="J30" s="27" t="n">
        <x:v>5</x:v>
      </x:c>
      <x:c r="K30" s="26" t="n">
        <x:f>H30*I30*J30</x:f>
        <x:v>75</x:v>
      </x:c>
      <x:c r="L30" s="26" t="str">
        <x:f>IF(K30&gt;=Controls!$B$11,"CRITICAL","TRACK")</x:f>
        <x:v>CRITICAL</x:v>
      </x:c>
      <x:c r="M30" s="26" t="str">
        <x:v>Fire / flood / power</x:v>
      </x:c>
      <x:c r="N30" s="26" t="str">
        <x:v>Distributed biomanufacturing</x:v>
      </x:c>
    </x:row>
    <x:row r="31">
      <x:c r="A31" s="26" t="str">
        <x:v>CM-26</x:v>
      </x:c>
      <x:c r="B31" s="11" t="str">
        <x:v>Compromised product baseline</x:v>
      </x:c>
      <x:c r="C31" s="11" t="str">
        <x:v>Industrial digital thread</x:v>
      </x:c>
      <x:c r="D31" s="11" t="str">
        <x:v>Wrong design/software accepted as authoritative</x:v>
      </x:c>
      <x:c r="E31" s="11" t="str">
        <x:v>Manufacturing, maintenance and fleet updates</x:v>
      </x:c>
      <x:c r="F31" s="11" t="str">
        <x:v>Signature, transparency and independent mirror</x:v>
      </x:c>
      <x:c r="G31" s="11" t="str">
        <x:v>Freeze issue; recover trusted baseline</x:v>
      </x:c>
      <x:c r="H31" s="27" t="n">
        <x:v>4</x:v>
      </x:c>
      <x:c r="I31" s="27" t="n">
        <x:v>5</x:v>
      </x:c>
      <x:c r="J31" s="27" t="n">
        <x:v>5</x:v>
      </x:c>
      <x:c r="K31" s="26" t="n">
        <x:f>H31*I31*J31</x:f>
        <x:v>100</x:v>
      </x:c>
      <x:c r="L31" s="26" t="str">
        <x:f>IF(K31&gt;=Controls!$B$11,"CRITICAL","TRACK")</x:f>
        <x:v>CRITICAL</x:v>
      </x:c>
      <x:c r="M31" s="26" t="str">
        <x:v>Health / water / logistics</x:v>
      </x:c>
      <x:c r="N31" s="26" t="str">
        <x:v>Industrial digital thread</x:v>
      </x:c>
    </x:row>
    <x:row r="32">
      <x:c r="A32" s="26" t="str">
        <x:v>CM-27</x:v>
      </x:c>
      <x:c r="B32" s="11" t="str">
        <x:v>Unqualified supplier substitution</x:v>
      </x:c>
      <x:c r="C32" s="11" t="str">
        <x:v>Industrial digital thread</x:v>
      </x:c>
      <x:c r="D32" s="11" t="str">
        <x:v>Latent fleet-wide reliability loss</x:v>
      </x:c>
      <x:c r="E32" s="11" t="str">
        <x:v>Every scaled product family</x:v>
      </x:c>
      <x:c r="F32" s="11" t="str">
        <x:v>Equivalence packet and incoming test</x:v>
      </x:c>
      <x:c r="G32" s="11" t="str">
        <x:v>Quarantine; bounded requalification</x:v>
      </x:c>
      <x:c r="H32" s="27" t="n">
        <x:v>4</x:v>
      </x:c>
      <x:c r="I32" s="27" t="n">
        <x:v>5</x:v>
      </x:c>
      <x:c r="J32" s="27" t="n">
        <x:v>4</x:v>
      </x:c>
      <x:c r="K32" s="26" t="n">
        <x:f>H32*I32*J32</x:f>
        <x:v>80</x:v>
      </x:c>
      <x:c r="L32" s="26" t="str">
        <x:f>IF(K32&gt;=Controls!$B$11,"CRITICAL","TRACK")</x:f>
        <x:v>CRITICAL</x:v>
      </x:c>
      <x:c r="M32" s="26" t="str">
        <x:v>All services</x:v>
      </x:c>
      <x:c r="N32" s="26" t="str">
        <x:v>Industrial digital thread</x:v>
      </x:c>
    </x:row>
    <x:row r="33">
      <x:c r="A33" s="26" t="str">
        <x:v>CM-28</x:v>
      </x:c>
      <x:c r="B33" s="11" t="str">
        <x:v>Field history not synchronized</x:v>
      </x:c>
      <x:c r="C33" s="11" t="str">
        <x:v>Industrial digital thread</x:v>
      </x:c>
      <x:c r="D33" s="11" t="str">
        <x:v>Unsafe item returned to service</x:v>
      </x:c>
      <x:c r="E33" s="11" t="str">
        <x:v>Aircraft, ships, pressure and lifting systems</x:v>
      </x:c>
      <x:c r="F33" s="11" t="str">
        <x:v>Usage counter and reconciliation exception</x:v>
      </x:c>
      <x:c r="G33" s="11" t="str">
        <x:v>Local hold until reconciled</x:v>
      </x:c>
      <x:c r="H33" s="27" t="n">
        <x:v>4</x:v>
      </x:c>
      <x:c r="I33" s="27" t="n">
        <x:v>5</x:v>
      </x:c>
      <x:c r="J33" s="27" t="n">
        <x:v>4</x:v>
      </x:c>
      <x:c r="K33" s="26" t="n">
        <x:f>H33*I33*J33</x:f>
        <x:v>80</x:v>
      </x:c>
      <x:c r="L33" s="26" t="str">
        <x:f>IF(K33&gt;=Controls!$B$11,"CRITICAL","TRACK")</x:f>
        <x:v>CRITICAL</x:v>
      </x:c>
      <x:c r="M33" s="26" t="str">
        <x:v>Fire / flood / power</x:v>
      </x:c>
      <x:c r="N33" s="26" t="str">
        <x:v>Industrial digital thread</x:v>
      </x:c>
    </x:row>
    <x:row r="34">
      <x:c r="A34" s="26" t="str">
        <x:v>CM-29</x:v>
      </x:c>
      <x:c r="B34" s="11" t="str">
        <x:v>Identity service unavailable</x:v>
      </x:c>
      <x:c r="C34" s="11" t="str">
        <x:v>Resilient comms/edge compute</x:v>
      </x:c>
      <x:c r="D34" s="11" t="str">
        <x:v>Authorized users/devices cannot operate</x:v>
      </x:c>
      <x:c r="E34" s="11" t="str">
        <x:v>All digital mission systems</x:v>
      </x:c>
      <x:c r="F34" s="11" t="str">
        <x:v>Offline credential expiry trial</x:v>
      </x:c>
      <x:c r="G34" s="11" t="str">
        <x:v>Local bounded credentials and break-glass</x:v>
      </x:c>
      <x:c r="H34" s="27" t="n">
        <x:v>4</x:v>
      </x:c>
      <x:c r="I34" s="27" t="n">
        <x:v>5</x:v>
      </x:c>
      <x:c r="J34" s="27" t="n">
        <x:v>4</x:v>
      </x:c>
      <x:c r="K34" s="26" t="n">
        <x:f>H34*I34*J34</x:f>
        <x:v>80</x:v>
      </x:c>
      <x:c r="L34" s="26" t="str">
        <x:f>IF(K34&gt;=Controls!$B$11,"CRITICAL","TRACK")</x:f>
        <x:v>CRITICAL</x:v>
      </x:c>
      <x:c r="M34" s="26" t="str">
        <x:v>Health / water / logistics</x:v>
      </x:c>
      <x:c r="N34" s="26" t="str">
        <x:v>Resilient comms/edge compute</x:v>
      </x:c>
    </x:row>
    <x:row r="35">
      <x:c r="A35" s="26" t="str">
        <x:v>CM-30</x:v>
      </x:c>
      <x:c r="B35" s="11" t="str">
        <x:v>Malicious or defective signed update</x:v>
      </x:c>
      <x:c r="C35" s="11" t="str">
        <x:v>Resilient comms/edge compute</x:v>
      </x:c>
      <x:c r="D35" s="11" t="str">
        <x:v>Common software failure propagates fleet-wide</x:v>
      </x:c>
      <x:c r="E35" s="11" t="str">
        <x:v>All connected platforms</x:v>
      </x:c>
      <x:c r="F35" s="11" t="str">
        <x:v>Staged canary, diversity and rollback</x:v>
      </x:c>
      <x:c r="G35" s="11" t="str">
        <x:v>Partition fleet; rollback; manual mode</x:v>
      </x:c>
      <x:c r="H35" s="27" t="n">
        <x:v>4</x:v>
      </x:c>
      <x:c r="I35" s="27" t="n">
        <x:v>5</x:v>
      </x:c>
      <x:c r="J35" s="27" t="n">
        <x:v>5</x:v>
      </x:c>
      <x:c r="K35" s="26" t="n">
        <x:f>H35*I35*J35</x:f>
        <x:v>100</x:v>
      </x:c>
      <x:c r="L35" s="26" t="str">
        <x:f>IF(K35&gt;=Controls!$B$11,"CRITICAL","TRACK")</x:f>
        <x:v>CRITICAL</x:v>
      </x:c>
      <x:c r="M35" s="26" t="str">
        <x:v>All services</x:v>
      </x:c>
      <x:c r="N35" s="26" t="str">
        <x:v>Resilient comms/edge compute</x:v>
      </x:c>
    </x:row>
    <x:row r="36">
      <x:c r="A36" s="26" t="str">
        <x:v>CM-31</x:v>
      </x:c>
      <x:c r="B36" s="11" t="str">
        <x:v>Priority inversion under congestion</x:v>
      </x:c>
      <x:c r="C36" s="11" t="str">
        <x:v>Resilient comms/edge compute</x:v>
      </x:c>
      <x:c r="D36" s="11" t="str">
        <x:v>Bulk data displaces life-safety traffic</x:v>
      </x:c>
      <x:c r="E36" s="11" t="str">
        <x:v>Incident command, clinical and autonomy links</x:v>
      </x:c>
      <x:c r="F36" s="11" t="str">
        <x:v>Saturation test with packet/service metrics</x:v>
      </x:c>
      <x:c r="G36" s="11" t="str">
        <x:v>Preempt bulk; local voice/data minimum</x:v>
      </x:c>
      <x:c r="H36" s="27" t="n">
        <x:v>4</x:v>
      </x:c>
      <x:c r="I36" s="27" t="n">
        <x:v>5</x:v>
      </x:c>
      <x:c r="J36" s="27" t="n">
        <x:v>4</x:v>
      </x:c>
      <x:c r="K36" s="26" t="n">
        <x:f>H36*I36*J36</x:f>
        <x:v>80</x:v>
      </x:c>
      <x:c r="L36" s="26" t="str">
        <x:f>IF(K36&gt;=Controls!$B$11,"CRITICAL","TRACK")</x:f>
        <x:v>CRITICAL</x:v>
      </x:c>
      <x:c r="M36" s="26" t="str">
        <x:v>Fire / flood / power</x:v>
      </x:c>
      <x:c r="N36" s="26" t="str">
        <x:v>Resilient comms/edge compute</x:v>
      </x:c>
    </x:row>
    <x:row r="37">
      <x:c r="A37" s="26" t="str">
        <x:v>CM-32</x:v>
      </x:c>
      <x:c r="B37" s="11" t="str">
        <x:v>Reconciliation conflict after isolation</x:v>
      </x:c>
      <x:c r="C37" s="11" t="str">
        <x:v>Resilient comms/edge compute</x:v>
      </x:c>
      <x:c r="D37" s="11" t="str">
        <x:v>Divergent orders, patient or asset states merge incorrectly</x:v>
      </x:c>
      <x:c r="E37" s="11" t="str">
        <x:v>Command, health, logistics and evidence</x:v>
      </x:c>
      <x:c r="F37" s="11" t="str">
        <x:v>Conflict-rule and authority test</x:v>
      </x:c>
      <x:c r="G37" s="11" t="str">
        <x:v>Human adjudication; preserve both records</x:v>
      </x:c>
      <x:c r="H37" s="27" t="n">
        <x:v>3</x:v>
      </x:c>
      <x:c r="I37" s="27" t="n">
        <x:v>5</x:v>
      </x:c>
      <x:c r="J37" s="27" t="n">
        <x:v>5</x:v>
      </x:c>
      <x:c r="K37" s="26" t="n">
        <x:f>H37*I37*J37</x:f>
        <x:v>75</x:v>
      </x:c>
      <x:c r="L37" s="26" t="str">
        <x:f>IF(K37&gt;=Controls!$B$11,"CRITICAL","TRACK")</x:f>
        <x:v>CRITICAL</x:v>
      </x:c>
      <x:c r="M37" s="26" t="str">
        <x:v>Health / water / logistics</x:v>
      </x:c>
      <x:c r="N37" s="26" t="str">
        <x:v>Resilient comms/edge compute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2" hidden="0" customWidth="1"/>
    <x:col min="4" max="4" width="34" hidden="0" customWidth="1"/>
    <x:col min="5" max="5" width="35" hidden="0" customWidth="1"/>
    <x:col min="6" max="6" width="40" hidden="0" customWidth="1"/>
    <x:col min="7" max="7" width="42" hidden="0" customWidth="1"/>
    <x:col min="8" max="8" width="43" hidden="0" customWidth="1"/>
    <x:col min="9" max="9" width="40" hidden="0" customWidth="1"/>
    <x:col min="10" max="10" width="40" hidden="0" customWidth="1"/>
  </x:cols>
  <x:sheetData>
    <x:row r="1">
      <x:c r="A1" s="49" t="str">
        <x:v>Degraded-operation doctrine</x:v>
      </x:c>
      <x:c r="B1" s="46"/>
      <x:c r="C1" s="46"/>
      <x:c r="D1" s="46"/>
      <x:c r="E1" s="46"/>
      <x:c r="F1" s="46"/>
      <x:c r="G1" s="46"/>
      <x:c r="H1" s="46"/>
      <x:c r="I1" s="46"/>
      <x:c r="J1" s="46"/>
    </x:row>
    <x:row r="2">
      <x:c r="A2" s="47" t="str">
        <x:v>Every common primitive and platform must have a tested service promise for connected, intermittent, isolated and manual-safe conditions.</x:v>
      </x:c>
      <x:c r="B2" s="47"/>
      <x:c r="C2" s="47"/>
      <x:c r="D2" s="47"/>
      <x:c r="E2" s="47"/>
      <x:c r="F2" s="47"/>
      <x:c r="G2" s="47"/>
      <x:c r="H2" s="47"/>
      <x:c r="I2" s="47"/>
      <x:c r="J2" s="47"/>
    </x:row>
    <x:row r="3" ht="3" customHeight="1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3"/>
      <x:c r="L3" s="3"/>
      <x:c r="M3" s="3"/>
      <x:c r="N3" s="3"/>
    </x:row>
    <x:row r="4">
      <x:c r="A4" s="26"/>
      <x:c r="B4" s="26"/>
      <x:c r="C4" s="26"/>
      <x:c r="D4" s="26"/>
      <x:c r="E4" s="26"/>
      <x:c r="F4" s="26"/>
      <x:c r="G4" s="26"/>
      <x:c r="H4" s="26"/>
      <x:c r="I4" s="26"/>
      <x:c r="J4" s="26"/>
    </x:row>
    <x:row r="5">
      <x:c r="A5" s="25" t="str">
        <x:v>Mode</x:v>
      </x:c>
      <x:c r="B5" s="25" t="str">
        <x:v>Connectivity</x:v>
      </x:c>
      <x:c r="C5" s="25" t="str">
        <x:v>Position/time</x:v>
      </x:c>
      <x:c r="D5" s="25" t="str">
        <x:v>Identity</x:v>
      </x:c>
      <x:c r="E5" s="25" t="str">
        <x:v>Command</x:v>
      </x:c>
      <x:c r="F5" s="25" t="str">
        <x:v>Automation</x:v>
      </x:c>
      <x:c r="G5" s="25" t="str">
        <x:v>Data behavior</x:v>
      </x:c>
      <x:c r="H5" s="25" t="str">
        <x:v>Minimum service</x:v>
      </x:c>
      <x:c r="I5" s="25" t="str">
        <x:v>Exit/rejoin</x:v>
      </x:c>
      <x:c r="J5" s="25" t="str">
        <x:v>Disqualifying failure</x:v>
      </x:c>
    </x:row>
    <x:row r="6">
      <x:c r="A6" s="26" t="str">
        <x:v>D0 Connected</x:v>
      </x:c>
      <x:c r="B6" s="11" t="str">
        <x:v>Diverse backhaul available</x:v>
      </x:c>
      <x:c r="C6" s="11" t="str">
        <x:v>Primary plus independent check</x:v>
      </x:c>
      <x:c r="D6" s="11" t="str">
        <x:v>Online policy and revocation</x:v>
      </x:c>
      <x:c r="E6" s="11" t="str">
        <x:v>Full civil/incident chain</x:v>
      </x:c>
      <x:c r="F6" s="11" t="str">
        <x:v>Certified mission envelope</x:v>
      </x:c>
      <x:c r="G6" s="11" t="str">
        <x:v>Continuous exchange and replication</x:v>
      </x:c>
      <x:c r="H6" s="11" t="str">
        <x:v>Full rated architecture service</x:v>
      </x:c>
      <x:c r="I6" s="11" t="str">
        <x:v>Routine synchronization</x:v>
      </x:c>
      <x:c r="J6" s="11" t="str">
        <x:v>Cloud or one bearer is still a single point</x:v>
      </x:c>
    </x:row>
    <x:row r="7">
      <x:c r="A7" s="26" t="str">
        <x:v>D1 Intermittent</x:v>
      </x:c>
      <x:c r="B7" s="11" t="str">
        <x:v>Variable and high latency</x:v>
      </x:c>
      <x:c r="C7" s="11" t="str">
        <x:v>Holdover with uncertainty growth</x:v>
      </x:c>
      <x:c r="D7" s="11" t="str">
        <x:v>Cached bounded credentials</x:v>
      </x:c>
      <x:c r="E7" s="11" t="str">
        <x:v>Queued orders with expiry</x:v>
      </x:c>
      <x:c r="F7" s="11" t="str">
        <x:v>Local task continuation inside bounds</x:v>
      </x:c>
      <x:c r="G7" s="11" t="str">
        <x:v>Store/forward with age and conflict marks</x:v>
      </x:c>
      <x:c r="H7" s="11" t="str">
        <x:v>Essential service with reduced optimization</x:v>
      </x:c>
      <x:c r="I7" s="11" t="str">
        <x:v>Reconcile by authority/version rules</x:v>
      </x:c>
      <x:c r="J7" s="11" t="str">
        <x:v>Silent use of stale state</x:v>
      </x:c>
    </x:row>
    <x:row r="8">
      <x:c r="A8" s="26" t="str">
        <x:v>D2 Isolated</x:v>
      </x:c>
      <x:c r="B8" s="11" t="str">
        <x:v>No external network</x:v>
      </x:c>
      <x:c r="C8" s="11" t="str">
        <x:v>Local time/PNT alternatives</x:v>
      </x:c>
      <x:c r="D8" s="11" t="str">
        <x:v>Local trust domain and break-glass</x:v>
      </x:c>
      <x:c r="E8" s="11" t="str">
        <x:v>On-scene authorized control</x:v>
      </x:c>
      <x:c r="F8" s="11" t="str">
        <x:v>Constrained autonomous or supervised tasks</x:v>
      </x:c>
      <x:c r="G8" s="11" t="str">
        <x:v>Local authoritative record and append-only audit</x:v>
      </x:c>
      <x:c r="H8" s="11" t="str">
        <x:v>Mission-essential output for 72 hours</x:v>
      </x:c>
      <x:c r="I8" s="11" t="str">
        <x:v>Authenticated merge; conflicts preserved</x:v>
      </x:c>
      <x:c r="J8" s="11" t="str">
        <x:v>External license/identity dependency</x:v>
      </x:c>
    </x:row>
    <x:row r="9">
      <x:c r="A9" s="26" t="str">
        <x:v>D3 Manual safe</x:v>
      </x:c>
      <x:c r="B9" s="11" t="str">
        <x:v>Digital control unavailable or distrusted</x:v>
      </x:c>
      <x:c r="C9" s="11" t="str">
        <x:v>Local instruments and procedural time</x:v>
      </x:c>
      <x:c r="D9" s="11" t="str">
        <x:v>Physical keys/roles and two-person controls</x:v>
      </x:c>
      <x:c r="E9" s="11" t="str">
        <x:v>Direct human control</x:v>
      </x:c>
      <x:c r="F9" s="11" t="str">
        <x:v>No autonomous high-consequence action</x:v>
      </x:c>
      <x:c r="G9" s="11" t="str">
        <x:v>Paper/local export for later entry</x:v>
      </x:c>
      <x:c r="H9" s="11" t="str">
        <x:v>Safe shutdown or bounded manual output</x:v>
      </x:c>
      <x:c r="I9" s="11" t="str">
        <x:v>Inspection and controlled restart</x:v>
      </x:c>
      <x:c r="J9" s="11" t="str">
        <x:v>No physically available safe state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5" hidden="0" customWidth="1"/>
    <x:col min="3" max="3" width="44" hidden="0" customWidth="1"/>
    <x:col min="4" max="4" width="43" hidden="0" customWidth="1"/>
    <x:col min="5" max="5" width="37" hidden="0" customWidth="1"/>
    <x:col min="6" max="6" width="41" hidden="0" customWidth="1"/>
    <x:col min="7" max="7" width="42" hidden="0" customWidth="1"/>
    <x:col min="8" max="8" width="42" hidden="0" customWidth="1"/>
    <x:col min="9" max="9" width="38" hidden="0" customWidth="1"/>
    <x:col min="10" max="10" width="33" hidden="0" customWidth="1"/>
  </x:cols>
  <x:sheetData>
    <x:row r="1">
      <x:c r="A1" s="49" t="str">
        <x:v>Machine-action authority model</x:v>
      </x:c>
      <x:c r="B1" s="46"/>
      <x:c r="C1" s="46"/>
      <x:c r="D1" s="46"/>
      <x:c r="E1" s="46"/>
      <x:c r="F1" s="46"/>
      <x:c r="G1" s="46"/>
      <x:c r="H1" s="46"/>
      <x:c r="I1" s="46"/>
      <x:c r="J1" s="46"/>
    </x:row>
    <x:row r="2">
      <x:c r="A2" s="47" t="str">
        <x:v>The interface carries lawful authority and operating bounds. Technology does not create incident command or political legitimacy.</x:v>
      </x:c>
      <x:c r="B2" s="47"/>
      <x:c r="C2" s="47"/>
      <x:c r="D2" s="47"/>
      <x:c r="E2" s="47"/>
      <x:c r="F2" s="47"/>
      <x:c r="G2" s="47"/>
      <x:c r="H2" s="47"/>
      <x:c r="I2" s="47"/>
      <x:c r="J2" s="47"/>
    </x:row>
    <x:row r="3" ht="3" customHeight="1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3"/>
      <x:c r="L3" s="3"/>
      <x:c r="M3" s="3"/>
      <x:c r="N3" s="3"/>
    </x:row>
    <x:row r="4">
      <x:c r="A4" s="26"/>
      <x:c r="B4" s="26"/>
      <x:c r="C4" s="26"/>
      <x:c r="D4" s="26"/>
      <x:c r="E4" s="26"/>
      <x:c r="F4" s="26"/>
      <x:c r="G4" s="26"/>
      <x:c r="H4" s="26"/>
      <x:c r="I4" s="26"/>
      <x:c r="J4" s="26"/>
    </x:row>
    <x:row r="5">
      <x:c r="A5" s="25" t="str">
        <x:v>Class</x:v>
      </x:c>
      <x:c r="B5" s="25" t="str">
        <x:v>Action type</x:v>
      </x:c>
      <x:c r="C5" s="25" t="str">
        <x:v>Examples</x:v>
      </x:c>
      <x:c r="D5" s="25" t="str">
        <x:v>Pre-authorization</x:v>
      </x:c>
      <x:c r="E5" s="25" t="str">
        <x:v>Real-time approval</x:v>
      </x:c>
      <x:c r="F5" s="25" t="str">
        <x:v>Required independent inhibit</x:v>
      </x:c>
      <x:c r="G5" s="25" t="str">
        <x:v>Audit</x:v>
      </x:c>
      <x:c r="H5" s="25" t="str">
        <x:v>Offline behavior</x:v>
      </x:c>
      <x:c r="I5" s="25" t="str">
        <x:v>Civil authority</x:v>
      </x:c>
      <x:c r="J5" s="25" t="str">
        <x:v>Evidence gate</x:v>
      </x:c>
    </x:row>
    <x:row r="6">
      <x:c r="A6" s="26" t="str">
        <x:v>A0 Observe</x:v>
      </x:c>
      <x:c r="B6" s="11" t="str">
        <x:v>No physical act beyond sensing</x:v>
      </x:c>
      <x:c r="C6" s="11" t="str">
        <x:v>Map, sample, inspect, relay</x:v>
      </x:c>
      <x:c r="D6" s="11" t="str">
        <x:v>Mission and privacy boundary</x:v>
      </x:c>
      <x:c r="E6" s="11" t="str">
        <x:v>No</x:v>
      </x:c>
      <x:c r="F6" s="11" t="str">
        <x:v>Stop/data erase where appropriate</x:v>
      </x:c>
      <x:c r="G6" s="11" t="str">
        <x:v>Observation provenance</x:v>
      </x:c>
      <x:c r="H6" s="11" t="str">
        <x:v>Continue within collection bounds</x:v>
      </x:c>
      <x:c r="I6" s="11" t="str">
        <x:v>Sets access/privacy rules</x:v>
      </x:c>
      <x:c r="J6" s="11" t="str">
        <x:v>Lab conformance</x:v>
      </x:c>
    </x:row>
    <x:row r="7">
      <x:c r="A7" s="26" t="str">
        <x:v>A1 Advise</x:v>
      </x:c>
      <x:c r="B7" s="11" t="str">
        <x:v>Recommendation only</x:v>
      </x:c>
      <x:c r="C7" s="11" t="str">
        <x:v>Route, allocation, forecast, maintenance suggestion</x:v>
      </x:c>
      <x:c r="D7" s="11" t="str">
        <x:v>Decision scope and confidence rules</x:v>
      </x:c>
      <x:c r="E7" s="11" t="str">
        <x:v>Human accepts consequential action</x:v>
      </x:c>
      <x:c r="F7" s="11" t="str">
        <x:v>Not applicable</x:v>
      </x:c>
      <x:c r="G7" s="11" t="str">
        <x:v>Alternatives, model/data versions, decision</x:v>
      </x:c>
      <x:c r="H7" s="11" t="str">
        <x:v>Local advisory with explicit staleness</x:v>
      </x:c>
      <x:c r="I7" s="11" t="str">
        <x:v>Accountable human decides</x:v>
      </x:c>
      <x:c r="J7" s="11" t="str">
        <x:v>Prospective decision trial</x:v>
      </x:c>
    </x:row>
    <x:row r="8">
      <x:c r="A8" s="26" t="str">
        <x:v>A2 Reversible local control</x:v>
      </x:c>
      <x:c r="B8" s="11" t="str">
        <x:v>Bounded low-consequence physical act</x:v>
      </x:c>
      <x:c r="C8" s="11" t="str">
        <x:v>Valve trim, local routing, warehouse movement</x:v>
      </x:c>
      <x:c r="D8" s="11" t="str">
        <x:v>Zone, energy/flow and expiry token</x:v>
      </x:c>
      <x:c r="E8" s="11" t="str">
        <x:v>Supervisor for exceptions</x:v>
      </x:c>
      <x:c r="F8" s="11" t="str">
        <x:v>Physical emergency stop</x:v>
      </x:c>
      <x:c r="G8" s="11" t="str">
        <x:v>Command, state and outcome</x:v>
      </x:c>
      <x:c r="H8" s="11" t="str">
        <x:v>Continue or stop under signed local policy</x:v>
      </x:c>
      <x:c r="I8" s="11" t="str">
        <x:v>Incident commander delegates</x:v>
      </x:c>
      <x:c r="J8" s="11" t="str">
        <x:v>Representative fault trial</x:v>
      </x:c>
    </x:row>
    <x:row r="9">
      <x:c r="A9" s="26" t="str">
        <x:v>A3 High-energy infrastructure</x:v>
      </x:c>
      <x:c r="B9" s="11" t="str">
        <x:v>Material energy/flow or destructive work</x:v>
      </x:c>
      <x:c r="C9" s="11" t="str">
        <x:v>Grid energization, pumping, heavy earthwork, fire drop</x:v>
      </x:c>
      <x:c r="D9" s="11" t="str">
        <x:v>Named operation, zone, envelope and expiry</x:v>
      </x:c>
      <x:c r="E9" s="11" t="str">
        <x:v>Qualified human authorizes mission</x:v>
      </x:c>
      <x:c r="F9" s="11" t="str">
        <x:v>Independent inhibit and two-channel confirmation</x:v>
      </x:c>
      <x:c r="G9" s="11" t="str">
        <x:v>Full configuration and action trace</x:v>
      </x:c>
      <x:c r="H9" s="11" t="str">
        <x:v>Default hold/isolate unless local authority active</x:v>
      </x:c>
      <x:c r="I9" s="11" t="str">
        <x:v>Civil command plus technical safety authority</x:v>
      </x:c>
      <x:c r="J9" s="11" t="str">
        <x:v>Complete mission thread</x:v>
      </x:c>
    </x:row>
    <x:row r="10">
      <x:c r="A10" s="26" t="str">
        <x:v>A4 Life, rights or irreversible</x:v>
      </x:c>
      <x:c r="B10" s="11" t="str">
        <x:v>Clinical, evacuation priority, demolition, water release with major consequence</x:v>
      </x:c>
      <x:c r="C10" s="11" t="str">
        <x:v>Surgery/triage support, occupied demolition, forced movement</x:v>
      </x:c>
      <x:c r="D10" s="11" t="str">
        <x:v>Doctrine and emergency legal basis</x:v>
      </x:c>
      <x:c r="E10" s="11" t="str">
        <x:v>Accountable authorized human at decision</x:v>
      </x:c>
      <x:c r="F10" s="11" t="str">
        <x:v>Independent stop where physically possible</x:v>
      </x:c>
      <x:c r="G10" s="11" t="str">
        <x:v>Decision rationale, alternatives and affected persons</x:v>
      </x:c>
      <x:c r="H10" s="11" t="str">
        <x:v>No autonomous final decision</x:v>
      </x:c>
      <x:c r="I10" s="11" t="str">
        <x:v>Civil/clinical/legal authority retains decision</x:v>
      </x:c>
      <x:c r="J10" s="11" t="str">
        <x:v>Replicated operational evaluation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9" hidden="0" customWidth="1"/>
    <x:col min="3" max="3" width="45" hidden="0" customWidth="1"/>
    <x:col min="4" max="4" width="38" hidden="0" customWidth="1"/>
    <x:col min="5" max="5" width="42" hidden="0" customWidth="1"/>
    <x:col min="6" max="6" width="42" hidden="0" customWidth="1"/>
    <x:col min="7" max="7" width="34" hidden="0" customWidth="1"/>
    <x:col min="8" max="8" width="38" hidden="0" customWidth="1"/>
    <x:col min="9" max="9" width="34" hidden="0" customWidth="1"/>
  </x:cols>
  <x:sheetData>
    <x:row r="1">
      <x:c r="A1" s="49" t="str">
        <x:v>Minimum data contract</x:v>
      </x:c>
      <x:c r="B1" s="46"/>
      <x:c r="C1" s="46"/>
      <x:c r="D1" s="46"/>
      <x:c r="E1" s="46"/>
      <x:c r="F1" s="46"/>
      <x:c r="G1" s="46"/>
      <x:c r="H1" s="46"/>
      <x:c r="I1" s="46"/>
    </x:row>
    <x:row r="2">
      <x:c r="A2" s="47" t="str">
        <x:v>Fields required to interpret operational state across organizations, vendors, modes and time. Payload schemas remain mission-specific.</x:v>
      </x:c>
      <x:c r="B2" s="47"/>
      <x:c r="C2" s="47"/>
      <x:c r="D2" s="47"/>
      <x:c r="E2" s="47"/>
      <x:c r="F2" s="47"/>
      <x:c r="G2" s="47"/>
      <x:c r="H2" s="47"/>
      <x:c r="I2" s="47"/>
    </x:row>
    <x:row r="3" ht="3" customHeight="1">
      <x:c r="A3" s="48"/>
      <x:c r="B3" s="48"/>
      <x:c r="C3" s="48"/>
      <x:c r="D3" s="48"/>
      <x:c r="E3" s="48"/>
      <x:c r="F3" s="48"/>
      <x:c r="G3" s="48"/>
      <x:c r="H3" s="48"/>
      <x:c r="I3" s="48"/>
      <x:c r="J3" s="3"/>
      <x:c r="K3" s="3"/>
      <x:c r="L3" s="3"/>
      <x:c r="M3" s="3"/>
      <x:c r="N3" s="3"/>
    </x:row>
    <x:row r="4">
      <x:c r="A4" s="26"/>
      <x:c r="B4" s="26"/>
      <x:c r="C4" s="26"/>
      <x:c r="D4" s="26"/>
      <x:c r="E4" s="26"/>
      <x:c r="F4" s="26"/>
      <x:c r="G4" s="26"/>
      <x:c r="H4" s="26"/>
      <x:c r="I4" s="26"/>
    </x:row>
    <x:row r="5">
      <x:c r="A5" s="25" t="str">
        <x:v>Field group</x:v>
      </x:c>
      <x:c r="B5" s="25" t="str">
        <x:v>Required fields</x:v>
      </x:c>
      <x:c r="C5" s="25" t="str">
        <x:v>Reason</x:v>
      </x:c>
      <x:c r="D5" s="25" t="str">
        <x:v>Offline rule</x:v>
      </x:c>
      <x:c r="E5" s="25" t="str">
        <x:v>Validation</x:v>
      </x:c>
      <x:c r="F5" s="25" t="str">
        <x:v>Privacy/security</x:v>
      </x:c>
      <x:c r="G5" s="25" t="str">
        <x:v>Retention</x:v>
      </x:c>
      <x:c r="H5" s="25" t="str">
        <x:v>Failure state</x:v>
      </x:c>
      <x:c r="I5" s="25" t="str">
        <x:v>Owner</x:v>
      </x:c>
    </x:row>
    <x:row r="6">
      <x:c r="A6" s="26" t="str">
        <x:v>Identity</x:v>
      </x:c>
      <x:c r="B6" s="11" t="str">
        <x:v>object_id; system_id; component_id; organization; role</x:v>
      </x:c>
      <x:c r="C6" s="11" t="str">
        <x:v>Separate item, system, owner and authorized actor</x:v>
      </x:c>
      <x:c r="D6" s="11" t="str">
        <x:v>Locally resolvable identifiers</x:v>
      </x:c>
      <x:c r="E6" s="11" t="str">
        <x:v>Uniqueness, signature and effectivity</x:v>
      </x:c>
      <x:c r="F6" s="11" t="str">
        <x:v>Pseudonymous person IDs where possible</x:v>
      </x:c>
      <x:c r="G6" s="11" t="str">
        <x:v>Lifecycle for hardware; purpose-limited for people</x:v>
      </x:c>
      <x:c r="H6" s="11" t="str">
        <x:v>Unknown identity blocks control</x:v>
      </x:c>
      <x:c r="I6" s="11" t="str">
        <x:v>Standards Office</x:v>
      </x:c>
    </x:row>
    <x:row r="7">
      <x:c r="A7" s="26" t="str">
        <x:v>Time</x:v>
      </x:c>
      <x:c r="B7" s="11" t="str">
        <x:v>event_time; receipt_time; clock_source; offset; uncertainty</x:v>
      </x:c>
      <x:c r="C7" s="11" t="str">
        <x:v>Sequence actions and quantify latency</x:v>
      </x:c>
      <x:c r="D7" s="11" t="str">
        <x:v>Holdover uncertainty grows visibly</x:v>
      </x:c>
      <x:c r="E7" s="11" t="str">
        <x:v>Cross-source plausibility and monotonicity</x:v>
      </x:c>
      <x:c r="F7" s="11" t="str">
        <x:v>Precise location/time may be sensitive</x:v>
      </x:c>
      <x:c r="G7" s="11" t="str">
        <x:v>Mission and investigation need</x:v>
      </x:c>
      <x:c r="H7" s="11" t="str">
        <x:v>Uncertain time blocks tight coordination</x:v>
      </x:c>
      <x:c r="I7" s="11" t="str">
        <x:v>Observation Directorate</x:v>
      </x:c>
    </x:row>
    <x:row r="8">
      <x:c r="A8" s="26" t="str">
        <x:v>Location</x:v>
      </x:c>
      <x:c r="B8" s="11" t="str">
        <x:v>coordinate_reference; horizontal/vertical datum; geometry; uncertainty</x:v>
      </x:c>
      <x:c r="C8" s="11" t="str">
        <x:v>Prevent silent map/elevation mismatch</x:v>
      </x:c>
      <x:c r="D8" s="11" t="str">
        <x:v>Local survey can become authoritative</x:v>
      </x:c>
      <x:c r="E8" s="11" t="str">
        <x:v>Datum transform and boundary check</x:v>
      </x:c>
      <x:c r="F8" s="11" t="str">
        <x:v>Minimize person precision</x:v>
      </x:c>
      <x:c r="G8" s="11" t="str">
        <x:v>Versioned mission record</x:v>
      </x:c>
      <x:c r="H8" s="11" t="str">
        <x:v>Unknown datum is invalid, not zero</x:v>
      </x:c>
      <x:c r="I8" s="11" t="str">
        <x:v>Observation Directorate</x:v>
      </x:c>
    </x:row>
    <x:row r="9">
      <x:c r="A9" s="26" t="str">
        <x:v>Measurement</x:v>
      </x:c>
      <x:c r="B9" s="11" t="str">
        <x:v>property; value; unit; method; calibration; quality; missing_reason</x:v>
      </x:c>
      <x:c r="C9" s="11" t="str">
        <x:v>Make state quantitatively interoperable</x:v>
      </x:c>
      <x:c r="D9" s="11" t="str">
        <x:v>Store raw and derived values</x:v>
      </x:c>
      <x:c r="E9" s="11" t="str">
        <x:v>Unit/schema/range/calibration checks</x:v>
      </x:c>
      <x:c r="F9" s="11" t="str">
        <x:v>Protect health/infrastructure detail</x:v>
      </x:c>
      <x:c r="G9" s="11" t="str">
        <x:v>Raw evidence immutable; products versioned</x:v>
      </x:c>
      <x:c r="H9" s="11" t="str">
        <x:v>Missing differs from zero</x:v>
      </x:c>
      <x:c r="I9" s="11" t="str">
        <x:v>National Laboratories</x:v>
      </x:c>
    </x:row>
    <x:row r="10">
      <x:c r="A10" s="26" t="str">
        <x:v>Configuration</x:v>
      </x:c>
      <x:c r="B10" s="11" t="str">
        <x:v>hardware; software; model; interface profile; deviations; maintenance state</x:v>
      </x:c>
      <x:c r="C10" s="11" t="str">
        <x:v>Bind evidence to the actual article</x:v>
      </x:c>
      <x:c r="D10" s="11" t="str">
        <x:v>Local signed baseline required</x:v>
      </x:c>
      <x:c r="E10" s="11" t="str">
        <x:v>Signature, compatibility and expiry</x:v>
      </x:c>
      <x:c r="F10" s="11" t="str">
        <x:v>Protect exploitable details by role</x:v>
      </x:c>
      <x:c r="G10" s="11" t="str">
        <x:v>Full item lifecycle</x:v>
      </x:c>
      <x:c r="H10" s="11" t="str">
        <x:v>Mismatch forces bounded mode</x:v>
      </x:c>
      <x:c r="I10" s="11" t="str">
        <x:v>Manufacturing Administration</x:v>
      </x:c>
    </x:row>
    <x:row r="11">
      <x:c r="A11" s="26" t="str">
        <x:v>Authority</x:v>
      </x:c>
      <x:c r="B11" s="11" t="str">
        <x:v>issuer; role; jurisdiction; action_class; zone; limits; start; expiry; approvals</x:v>
      </x:c>
      <x:c r="C11" s="11" t="str">
        <x:v>Make command constraints executable</x:v>
      </x:c>
      <x:c r="D11" s="11" t="str">
        <x:v>Cached local authority with bounded expiry</x:v>
      </x:c>
      <x:c r="E11" s="11" t="str">
        <x:v>Credential, jurisdiction and rule checks</x:v>
      </x:c>
      <x:c r="F11" s="11" t="str">
        <x:v>Audit access controlled</x:v>
      </x:c>
      <x:c r="G11" s="11" t="str">
        <x:v>Immutable decision/audit record</x:v>
      </x:c>
      <x:c r="H11" s="11" t="str">
        <x:v>Invalid/expired authority fails closed</x:v>
      </x:c>
      <x:c r="I11" s="11" t="str">
        <x:v>Civil Command Architecture Office</x:v>
      </x:c>
    </x:row>
    <x:row r="12">
      <x:c r="A12" s="26" t="str">
        <x:v>Uncertainty</x:v>
      </x:c>
      <x:c r="B12" s="11" t="str">
        <x:v>distribution or interval; confidence; calibration_domain; tail_warning</x:v>
      </x:c>
      <x:c r="C12" s="11" t="str">
        <x:v>Prevent point-estimate overclaim</x:v>
      </x:c>
      <x:c r="D12" s="11" t="str">
        <x:v>Uncertainty widens with stale data</x:v>
      </x:c>
      <x:c r="E12" s="11" t="str">
        <x:v>Scoring rule and retrospective calibration</x:v>
      </x:c>
      <x:c r="F12" s="11" t="str">
        <x:v>Publish method, protect source where needed</x:v>
      </x:c>
      <x:c r="G12" s="11" t="str">
        <x:v>Version with model/data</x:v>
      </x:c>
      <x:c r="H12" s="11" t="str">
        <x:v>Unknown uncertainty marked unbounded</x:v>
      </x:c>
      <x:c r="I12" s="11" t="str">
        <x:v>RTEA</x:v>
      </x:c>
    </x:row>
    <x:row r="13">
      <x:c r="A13" s="26" t="str">
        <x:v>Outcome</x:v>
      </x:c>
      <x:c r="B13" s="11" t="str">
        <x:v>requested effect; delivered effect; affected population; environmental/workforce burden</x:v>
      </x:c>
      <x:c r="C13" s="11" t="str">
        <x:v>Measure public service and unintended consequences</x:v>
      </x:c>
      <x:c r="D13" s="11" t="str">
        <x:v>Local record queued for merge</x:v>
      </x:c>
      <x:c r="E13" s="11" t="str">
        <x:v>Independent sampling and reconciliation</x:v>
      </x:c>
      <x:c r="F13" s="11" t="str">
        <x:v>Aggregate public reporting; protected individual data</x:v>
      </x:c>
      <x:c r="G13" s="11" t="str">
        <x:v>Long-term evaluation record</x:v>
      </x:c>
      <x:c r="H13" s="11" t="str">
        <x:v>No self-reported success without evidence</x:v>
      </x:c>
      <x:c r="I13" s="11" t="str">
        <x:v>Public Assurance Office</x:v>
      </x:c>
    </x:row>
    <x:row r="14">
      <x:c r="A14" s="26"/>
      <x:c r="B14" s="11"/>
      <x:c r="C14" s="11"/>
      <x:c r="D14" s="11"/>
      <x:c r="E14" s="11"/>
      <x:c r="F14" s="11"/>
      <x:c r="G14" s="11"/>
      <x:c r="H14" s="11"/>
      <x:c r="I14" s="1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48" hidden="0" customWidth="1"/>
    <x:col min="5" max="5" width="47" hidden="0" customWidth="1"/>
    <x:col min="6" max="6" width="48" hidden="0" customWidth="1"/>
    <x:col min="7" max="7" width="28" hidden="0" customWidth="1"/>
    <x:col min="8" max="8" width="34" hidden="0" customWidth="1"/>
    <x:col min="9" max="9" width="34" hidden="0" customWidth="1"/>
    <x:col min="10" max="10" width="40" hidden="0" customWidth="1"/>
    <x:col min="11" max="11" width="14" hidden="0" customWidth="1"/>
  </x:cols>
  <x:sheetData>
    <x:row r="1">
      <x:c r="A1" s="49" t="str">
        <x:v>Physical interface exploration bands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>
      <x:c r="A2" s="47" t="str">
        <x:v>Bands organize research and adapter strategy. They are not adopted standards, ratings, code approvals or connector selections.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</x:row>
    <x:row r="3" ht="3" customHeight="1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3"/>
      <x:c r="M3" s="3"/>
      <x:c r="N3" s="3"/>
    </x:row>
    <x:row r="4">
      <x:c r="A4" s="26"/>
      <x:c r="B4" s="26"/>
      <x:c r="C4" s="26"/>
      <x:c r="D4" s="26"/>
      <x:c r="E4" s="26"/>
      <x:c r="F4" s="26"/>
      <x:c r="G4" s="26"/>
      <x:c r="H4" s="26"/>
      <x:c r="I4" s="26"/>
      <x:c r="J4" s="26"/>
      <x:c r="K4" s="26"/>
    </x:row>
    <x:row r="5">
      <x:c r="A5" s="25" t="str">
        <x:v>ID</x:v>
      </x:c>
      <x:c r="B5" s="25" t="str">
        <x:v>Domain</x:v>
      </x:c>
      <x:c r="C5" s="25" t="str">
        <x:v>Band</x:v>
      </x:c>
      <x:c r="D5" s="25" t="str">
        <x:v>Exploration envelope</x:v>
      </x:c>
      <x:c r="E5" s="25" t="str">
        <x:v>Boundary measurement</x:v>
      </x:c>
      <x:c r="F5" s="25" t="str">
        <x:v>Protection/isolation</x:v>
      </x:c>
      <x:c r="G5" s="25" t="str">
        <x:v>Handling</x:v>
      </x:c>
      <x:c r="H5" s="25" t="str">
        <x:v>Degraded state</x:v>
      </x:c>
      <x:c r="I5" s="25" t="str">
        <x:v>Primary users</x:v>
      </x:c>
      <x:c r="J5" s="25" t="str">
        <x:v>Open decision</x:v>
      </x:c>
      <x:c r="K5" s="25" t="str">
        <x:v>Status</x:v>
      </x:c>
    </x:row>
    <x:row r="6">
      <x:c r="A6" s="26" t="str">
        <x:v>PWR-LV</x:v>
      </x:c>
      <x:c r="B6" s="26" t="str">
        <x:v>Power</x:v>
      </x:c>
      <x:c r="C6" s="11" t="str">
        <x:v>Low voltage/control</x:v>
      </x:c>
      <x:c r="D6" s="11" t="str">
        <x:v>12–60 VDC; sensor/control to 5 kW</x:v>
      </x:c>
      <x:c r="E6" s="11" t="str">
        <x:v>V, A, power quality, polarity, source</x:v>
      </x:c>
      <x:c r="F6" s="11" t="str">
        <x:v>Current limit, isolation, keyed connection</x:v>
      </x:c>
      <x:c r="G6" s="11" t="str">
        <x:v>Human-portable/pallet</x:v>
      </x:c>
      <x:c r="H6" s="11" t="str">
        <x:v>Local battery/manual</x:v>
      </x:c>
      <x:c r="I6" s="11" t="str">
        <x:v>Sensors, controls, comms</x:v>
      </x:c>
      <x:c r="J6" s="11" t="str">
        <x:v>Voltage families/connectors</x:v>
      </x:c>
      <x:c r="K6" s="26" t="str">
        <x:v>OPEN</x:v>
      </x:c>
    </x:row>
    <x:row r="7">
      <x:c r="A7" s="26" t="str">
        <x:v>PWR-FAC</x:v>
      </x:c>
      <x:c r="B7" s="26" t="str">
        <x:v>Power</x:v>
      </x:c>
      <x:c r="C7" s="11" t="str">
        <x:v>Facility low voltage</x:v>
      </x:c>
      <x:c r="D7" s="11" t="str">
        <x:v>120/208/240/480 VAC; 380–800 VDC; to 500 kW</x:v>
      </x:c>
      <x:c r="E7" s="11" t="str">
        <x:v>V, A, Hz, phase, power factor, harmonics</x:v>
      </x:c>
      <x:c r="F7" s="11" t="str">
        <x:v>Grounding, fault duty, arc and synchronization</x:v>
      </x:c>
      <x:c r="G7" s="11" t="str">
        <x:v>Pallet/road-mobile</x:v>
      </x:c>
      <x:c r="H7" s="11" t="str">
        <x:v>Local manual distribution</x:v>
      </x:c>
      <x:c r="I7" s="11" t="str">
        <x:v>Shelter, health, treatment, workshops</x:v>
      </x:c>
      <x:c r="J7" s="11" t="str">
        <x:v>AC/DC profile set</x:v>
      </x:c>
      <x:c r="K7" s="26" t="str">
        <x:v>OPEN</x:v>
      </x:c>
    </x:row>
    <x:row r="8">
      <x:c r="A8" s="26" t="str">
        <x:v>PWR-MV</x:v>
      </x:c>
      <x:c r="B8" s="26" t="str">
        <x:v>Power</x:v>
      </x:c>
      <x:c r="C8" s="11" t="str">
        <x:v>Medium-voltage island</x:v>
      </x:c>
      <x:c r="D8" s="11" t="str">
        <x:v>4.16–34.5 kVAC; 0.5–25 MW</x:v>
      </x:c>
      <x:c r="E8" s="11" t="str">
        <x:v>Phasor, fault, protection, grounding and energy</x:v>
      </x:c>
      <x:c r="F8" s="11" t="str">
        <x:v>Relay coordination, isolation, visible break</x:v>
      </x:c>
      <x:c r="G8" s="11" t="str">
        <x:v>Heavy road/rail/sea</x:v>
      </x:c>
      <x:c r="H8" s="11" t="str">
        <x:v>Manual switching and local protection</x:v>
      </x:c>
      <x:c r="I8" s="11" t="str">
        <x:v>PRG, water, bases, thermal</x:v>
      </x:c>
      <x:c r="J8" s="11" t="str">
        <x:v>Voltage/fault-duty portfolio</x:v>
      </x:c>
      <x:c r="K8" s="26" t="str">
        <x:v>OPEN</x:v>
      </x:c>
    </x:row>
    <x:row r="9">
      <x:c r="A9" s="26" t="str">
        <x:v>PWR-HV</x:v>
      </x:c>
      <x:c r="B9" s="26" t="str">
        <x:v>Power</x:v>
      </x:c>
      <x:c r="C9" s="11" t="str">
        <x:v>Grid bridge</x:v>
      </x:c>
      <x:c r="D9" s="11" t="str">
        <x:v>34.5–115+ kVAC; 25–300 MW</x:v>
      </x:c>
      <x:c r="E9" s="11" t="str">
        <x:v>System state, fault duty, reactive power and limits</x:v>
      </x:c>
      <x:c r="F9" s="11" t="str">
        <x:v>Utility-approved protection and operating authority</x:v>
      </x:c>
      <x:c r="G9" s="11" t="str">
        <x:v>Heavy/oversize</x:v>
      </x:c>
      <x:c r="H9" s="11" t="str">
        <x:v>Isolated local control</x:v>
      </x:c>
      <x:c r="I9" s="11" t="str">
        <x:v>Regional grid bridge</x:v>
      </x:c>
      <x:c r="J9" s="11" t="str">
        <x:v>Which classes remain mobile</x:v>
      </x:c>
      <x:c r="K9" s="26" t="str">
        <x:v>HELD</x:v>
      </x:c>
    </x:row>
    <x:row r="10">
      <x:c r="A10" s="26" t="str">
        <x:v>FLU-S</x:v>
      </x:c>
      <x:c r="B10" s="26" t="str">
        <x:v>Fluid</x:v>
      </x:c>
      <x:c r="C10" s="11" t="str">
        <x:v>Small service</x:v>
      </x:c>
      <x:c r="D10" s="11" t="str">
        <x:v>2.5–10 cm; potable, fuel, medical gas, sample</x:v>
      </x:c>
      <x:c r="E10" s="11" t="str">
        <x:v>Media, pressure, flow, temperature, quality</x:v>
      </x:c>
      <x:c r="F10" s="11" t="str">
        <x:v>Physical keying, check, breakaway and cap</x:v>
      </x:c>
      <x:c r="G10" s="11" t="str">
        <x:v>Human/pallet</x:v>
      </x:c>
      <x:c r="H10" s="11" t="str">
        <x:v>Manual valve/local gauge</x:v>
      </x:c>
      <x:c r="I10" s="11" t="str">
        <x:v>Clinical, shelter, vehicle, lab</x:v>
      </x:c>
      <x:c r="J10" s="11" t="str">
        <x:v>Media-specific connectors</x:v>
      </x:c>
      <x:c r="K10" s="26" t="str">
        <x:v>OPEN</x:v>
      </x:c>
    </x:row>
    <x:row r="11">
      <x:c r="A11" s="26" t="str">
        <x:v>FLU-M</x:v>
      </x:c>
      <x:c r="B11" s="26" t="str">
        <x:v>Fluid</x:v>
      </x:c>
      <x:c r="C11" s="11" t="str">
        <x:v>Formation distribution</x:v>
      </x:c>
      <x:c r="D11" s="11" t="str">
        <x:v>10–30 cm; raw/product/waste/fuel/thermal</x:v>
      </x:c>
      <x:c r="E11" s="11" t="str">
        <x:v>Media, pressure, flow, temperature, quality</x:v>
      </x:c>
      <x:c r="F11" s="11" t="str">
        <x:v>Isolation, relief, drain, sample and decon</x:v>
      </x:c>
      <x:c r="G11" s="11" t="str">
        <x:v>Road-mobile</x:v>
      </x:c>
      <x:c r="H11" s="11" t="str">
        <x:v>Manual valve/bypass</x:v>
      </x:c>
      <x:c r="I11" s="11" t="str">
        <x:v>Water groups, hospitals, bases</x:v>
      </x:c>
      <x:c r="J11" s="11" t="str">
        <x:v>Pressure/material profiles</x:v>
      </x:c>
      <x:c r="K11" s="26" t="str">
        <x:v>OPEN</x:v>
      </x:c>
    </x:row>
    <x:row r="12">
      <x:c r="A12" s="26" t="str">
        <x:v>FLU-L</x:v>
      </x:c>
      <x:c r="B12" s="26" t="str">
        <x:v>Fluid</x:v>
      </x:c>
      <x:c r="C12" s="11" t="str">
        <x:v>Regional trunk</x:v>
      </x:c>
      <x:c r="D12" s="11" t="str">
        <x:v>30–100 cm; water/waste/process/thermal</x:v>
      </x:c>
      <x:c r="E12" s="11" t="str">
        <x:v>Transient pressure, flow, quality and route state</x:v>
      </x:c>
      <x:c r="F12" s="11" t="str">
        <x:v>Staged start, air/vacuum, anchor and rupture isolation</x:v>
      </x:c>
      <x:c r="G12" s="11" t="str">
        <x:v>Heavy modules</x:v>
      </x:c>
      <x:c r="H12" s="11" t="str">
        <x:v>Local pump/valve control</x:v>
      </x:c>
      <x:c r="I12" s="11" t="str">
        <x:v>WRG/HCG/thermal systems</x:v>
      </x:c>
      <x:c r="J12" s="11" t="str">
        <x:v>Joint/route families</x:v>
      </x:c>
      <x:c r="K12" s="26" t="str">
        <x:v>OPEN</x:v>
      </x:c>
    </x:row>
    <x:row r="13">
      <x:c r="A13" s="26" t="str">
        <x:v>FLU-XL</x:v>
      </x:c>
      <x:c r="B13" s="26" t="str">
        <x:v>Fluid</x:v>
      </x:c>
      <x:c r="C13" s="11" t="str">
        <x:v>Megaflow corridor</x:v>
      </x:c>
      <x:c r="D13" s="11" t="str">
        <x:v>1–2 m equivalent; high-flow flood/drainage</x:v>
      </x:c>
      <x:c r="E13" s="11" t="str">
        <x:v>Flow, head, transient, sediment and receiving state</x:v>
      </x:c>
      <x:c r="F13" s="11" t="str">
        <x:v>Segment isolation, controlled failure and public exclusion</x:v>
      </x:c>
      <x:c r="G13" s="11" t="str">
        <x:v>Oversize/field assembled</x:v>
      </x:c>
      <x:c r="H13" s="11" t="str">
        <x:v>Manual sectional operation</x:v>
      </x:c>
      <x:c r="I13" s="11" t="str">
        <x:v>HCG and strategic water</x:v>
      </x:c>
      <x:c r="J13" s="11" t="str">
        <x:v>Pipe/channel/siphon mix</x:v>
      </x:c>
      <x:c r="K13" s="26" t="str">
        <x:v>HELD</x:v>
      </x:c>
    </x:row>
    <x:row r="14">
      <x:c r="A14" s="26" t="str">
        <x:v>MECH-P</x:v>
      </x:c>
      <x:c r="B14" s="26" t="str">
        <x:v>Mechanical</x:v>
      </x:c>
      <x:c r="C14" s="11" t="str">
        <x:v>Pallet/person</x:v>
      </x:c>
      <x:c r="D14" s="11" t="str">
        <x:v>Team or common pallet handling</x:v>
      </x:c>
      <x:c r="E14" s="11" t="str">
        <x:v>Mass, CG, lift points, restraint and shock</x:v>
      </x:c>
      <x:c r="F14" s="11" t="str">
        <x:v>Rated points and positive engagement</x:v>
      </x:c>
      <x:c r="G14" s="11" t="str">
        <x:v>Person/pallet</x:v>
      </x:c>
      <x:c r="H14" s="11" t="str">
        <x:v>Manual</x:v>
      </x:c>
      <x:c r="I14" s="11" t="str">
        <x:v>First entry and repair</x:v>
      </x:c>
      <x:c r="J14" s="11" t="str">
        <x:v>Exact pallet families</x:v>
      </x:c>
      <x:c r="K14" s="26" t="str">
        <x:v>OPEN</x:v>
      </x:c>
    </x:row>
    <x:row r="15">
      <x:c r="A15" s="26" t="str">
        <x:v>MECH-R</x:v>
      </x:c>
      <x:c r="B15" s="26" t="str">
        <x:v>Mechanical</x:v>
      </x:c>
      <x:c r="C15" s="11" t="str">
        <x:v>Road/container</x:v>
      </x:c>
      <x:c r="D15" s="11" t="str">
        <x:v>Common road/rail/air/sea handling frame</x:v>
      </x:c>
      <x:c r="E15" s="11" t="str">
        <x:v>Mass, CG, envelope, loads and utilities</x:v>
      </x:c>
      <x:c r="F15" s="11" t="str">
        <x:v>Certified lift/tie-down and safe work zone</x:v>
      </x:c>
      <x:c r="G15" s="11" t="str">
        <x:v>Road/container handlers</x:v>
      </x:c>
      <x:c r="H15" s="11" t="str">
        <x:v>Mechanical/manual</x:v>
      </x:c>
      <x:c r="I15" s="11" t="str">
        <x:v>Default mission module</x:v>
      </x:c>
      <x:c r="J15" s="11" t="str">
        <x:v>Operating expansion envelope</x:v>
      </x:c>
      <x:c r="K15" s="26" t="str">
        <x:v>OPEN</x:v>
      </x:c>
    </x:row>
    <x:row r="16">
      <x:c r="A16" s="26" t="str">
        <x:v>MECH-H</x:v>
      </x:c>
      <x:c r="B16" s="26" t="str">
        <x:v>Mechanical</x:v>
      </x:c>
      <x:c r="C16" s="11" t="str">
        <x:v>Heavy mission module</x:v>
      </x:c>
      <x:c r="D16" s="11" t="str">
        <x:v>Oversize bounded for strategic lift and field efficiency</x:v>
      </x:c>
      <x:c r="E16" s="11" t="str">
        <x:v>Mass, CG, lifting, transport and foundation loads</x:v>
      </x:c>
      <x:c r="F16" s="11" t="str">
        <x:v>Engineered lift plan and redundant support</x:v>
      </x:c>
      <x:c r="G16" s="11" t="str">
        <x:v>Heavy road/rail/sea</x:v>
      </x:c>
      <x:c r="H16" s="11" t="str">
        <x:v>Local controls and physical isolation</x:v>
      </x:c>
      <x:c r="I16" s="11" t="str">
        <x:v>Pumps, substations, bridge, hospital</x:v>
      </x:c>
      <x:c r="J16" s="11" t="str">
        <x:v>Common heavy interfaces</x:v>
      </x:c>
      <x:c r="K16" s="26" t="str">
        <x:v>OPEN</x:v>
      </x:c>
    </x:row>
    <x:row r="17">
      <x:c r="A17" s="26" t="str">
        <x:v>MECH-F</x:v>
      </x:c>
      <x:c r="B17" s="26" t="str">
        <x:v>Mechanical</x:v>
      </x:c>
      <x:c r="C17" s="11" t="str">
        <x:v>Field structure</x:v>
      </x:c>
      <x:c r="D17" s="11" t="str">
        <x:v>Unfolding/assembled utility, bridge, barrier, pad or shelter</x:v>
      </x:c>
      <x:c r="E17" s="11" t="str">
        <x:v>Load path, foundation, state and inspection</x:v>
      </x:c>
      <x:c r="F17" s="11" t="str">
        <x:v>Proof load, exclusion zone and visible damage state</x:v>
      </x:c>
      <x:c r="G17" s="11" t="str">
        <x:v>Field assembly</x:v>
      </x:c>
      <x:c r="H17" s="11" t="str">
        <x:v>Manual inspection/operation</x:v>
      </x:c>
      <x:c r="I17" s="11" t="str">
        <x:v>Public works and utilities</x:v>
      </x:c>
      <x:c r="J17" s="11" t="str">
        <x:v>Qualification system</x:v>
      </x:c>
      <x:c r="K17" s="26" t="str">
        <x:v>OPEN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37" hidden="0" customWidth="1"/>
    <x:col min="3" max="3" width="39" hidden="0" customWidth="1"/>
    <x:col min="4" max="4" width="39" hidden="0" customWidth="1"/>
    <x:col min="5" max="5" width="46" hidden="0" customWidth="1"/>
    <x:col min="6" max="6" width="34" hidden="0" customWidth="1"/>
    <x:col min="7" max="7" width="32" hidden="0" customWidth="1"/>
    <x:col min="8" max="8" width="34" hidden="0" customWidth="1"/>
    <x:col min="9" max="9" width="40" hidden="0" customWidth="1"/>
    <x:col min="10" max="10" width="18" hidden="0" customWidth="1"/>
    <x:col min="11" max="11" width="38" hidden="0" customWidth="1"/>
  </x:cols>
  <x:sheetData>
    <x:row r="1">
      <x:c r="A1" s="49" t="str">
        <x:v>Configuration and evidence digital thread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>
      <x:c r="A2" s="47" t="str">
        <x:v>A fielded item remains linked to the requirements, design, suppliers, process, tests, mission loads, repairs and decisions that define its safe state.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</x:row>
    <x:row r="3" ht="3" customHeight="1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3"/>
      <x:c r="M3" s="3"/>
      <x:c r="N3" s="3"/>
    </x:row>
    <x:row r="4">
      <x:c r="A4" s="26"/>
      <x:c r="B4" s="26"/>
      <x:c r="C4" s="26"/>
      <x:c r="D4" s="26"/>
      <x:c r="E4" s="26"/>
      <x:c r="F4" s="26"/>
      <x:c r="G4" s="26"/>
      <x:c r="H4" s="26"/>
      <x:c r="I4" s="26"/>
      <x:c r="J4" s="26"/>
      <x:c r="K4" s="26"/>
    </x:row>
    <x:row r="5">
      <x:c r="A5" s="25" t="str">
        <x:v>Lifecycle state</x:v>
      </x:c>
      <x:c r="B5" s="25" t="str">
        <x:v>Authoritative object</x:v>
      </x:c>
      <x:c r="C5" s="25" t="str">
        <x:v>Required link backward</x:v>
      </x:c>
      <x:c r="D5" s="25" t="str">
        <x:v>Required link forward</x:v>
      </x:c>
      <x:c r="E5" s="25" t="str">
        <x:v>Immutable evidence</x:v>
      </x:c>
      <x:c r="F5" s="25" t="str">
        <x:v>Editable state</x:v>
      </x:c>
      <x:c r="G5" s="25" t="str">
        <x:v>Signer/owner</x:v>
      </x:c>
      <x:c r="H5" s="25" t="str">
        <x:v>Disconnected copy</x:v>
      </x:c>
      <x:c r="I5" s="25" t="str">
        <x:v>Reconciliation rule</x:v>
      </x:c>
      <x:c r="J5" s="25" t="str">
        <x:v>Release gate</x:v>
      </x:c>
      <x:c r="K5" s="25" t="str">
        <x:v>Failure consequence</x:v>
      </x:c>
    </x:row>
    <x:row r="6">
      <x:c r="A6" s="26" t="str">
        <x:v>Need</x:v>
      </x:c>
      <x:c r="B6" s="11" t="str">
        <x:v>Measured mission effect</x:v>
      </x:c>
      <x:c r="C6" s="11" t="str">
        <x:v>Hazard/service evidence</x:v>
      </x:c>
      <x:c r="D6" s="11" t="str">
        <x:v>Requirements and alternatives</x:v>
      </x:c>
      <x:c r="E6" s="11" t="str">
        <x:v>Baseline dataset and decision record</x:v>
      </x:c>
      <x:c r="F6" s="11" t="str">
        <x:v>Opportunity framing</x:v>
      </x:c>
      <x:c r="G6" s="11" t="str">
        <x:v>ARPA-R</x:v>
      </x:c>
      <x:c r="H6" s="11" t="str">
        <x:v>Public/reference package</x:v>
      </x:c>
      <x:c r="I6" s="11" t="str">
        <x:v>Version plus dissent retained</x:v>
      </x:c>
      <x:c r="J6" s="11" t="str">
        <x:v>G0</x:v>
      </x:c>
      <x:c r="K6" s="11" t="str">
        <x:v>Solves wrong problem</x:v>
      </x:c>
    </x:row>
    <x:row r="7">
      <x:c r="A7" s="26" t="str">
        <x:v>Requirement</x:v>
      </x:c>
      <x:c r="B7" s="11" t="str">
        <x:v>Requirement baseline</x:v>
      </x:c>
      <x:c r="C7" s="11" t="str">
        <x:v>Need and stakeholder decision</x:v>
      </x:c>
      <x:c r="D7" s="11" t="str">
        <x:v>Architecture/interface allocation</x:v>
      </x:c>
      <x:c r="E7" s="11" t="str">
        <x:v>Approved text, units, thresholds and authority</x:v>
      </x:c>
      <x:c r="F7" s="11" t="str">
        <x:v>Controlled change request</x:v>
      </x:c>
      <x:c r="G7" s="11" t="str">
        <x:v>Architecture Board</x:v>
      </x:c>
      <x:c r="H7" s="11" t="str">
        <x:v>Signed local baseline</x:v>
      </x:c>
      <x:c r="I7" s="11" t="str">
        <x:v>No silent overwrite</x:v>
      </x:c>
      <x:c r="J7" s="11" t="str">
        <x:v>G1</x:v>
      </x:c>
      <x:c r="K7" s="11" t="str">
        <x:v>Incompatible or unsafe design</x:v>
      </x:c>
    </x:row>
    <x:row r="8">
      <x:c r="A8" s="26" t="str">
        <x:v>Design</x:v>
      </x:c>
      <x:c r="B8" s="11" t="str">
        <x:v>Model-based product definition</x:v>
      </x:c>
      <x:c r="C8" s="11" t="str">
        <x:v>Requirement/interface version</x:v>
      </x:c>
      <x:c r="D8" s="11" t="str">
        <x:v>Manufacturing and verification plan</x:v>
      </x:c>
      <x:c r="E8" s="11" t="str">
        <x:v>Geometry, analyses, bill, software/model bills</x:v>
      </x:c>
      <x:c r="F8" s="11" t="str">
        <x:v>Authorized design iteration</x:v>
      </x:c>
      <x:c r="G8" s="11" t="str">
        <x:v>Design authority</x:v>
      </x:c>
      <x:c r="H8" s="11" t="str">
        <x:v>Signed technical data package</x:v>
      </x:c>
      <x:c r="I8" s="11" t="str">
        <x:v>Effectivity by item/lot</x:v>
      </x:c>
      <x:c r="J8" s="11" t="str">
        <x:v>G2</x:v>
      </x:c>
      <x:c r="K8" s="11" t="str">
        <x:v>Evidence migrates to different article</x:v>
      </x:c>
    </x:row>
    <x:row r="9">
      <x:c r="A9" s="26" t="str">
        <x:v>Supplier/process</x:v>
      </x:c>
      <x:c r="B9" s="11" t="str">
        <x:v>Qualified source and process</x:v>
      </x:c>
      <x:c r="C9" s="11" t="str">
        <x:v>Design/material/process requirement</x:v>
      </x:c>
      <x:c r="D9" s="11" t="str">
        <x:v>Item/lot and inspection</x:v>
      </x:c>
      <x:c r="E9" s="11" t="str">
        <x:v>Certificates, parameters, deviations and substitutions</x:v>
      </x:c>
      <x:c r="F9" s="11" t="str">
        <x:v>Production schedule</x:v>
      </x:c>
      <x:c r="G9" s="11" t="str">
        <x:v>Manufacturing Administration</x:v>
      </x:c>
      <x:c r="H9" s="11" t="str">
        <x:v>Plant-local mirror</x:v>
      </x:c>
      <x:c r="I9" s="11" t="str">
        <x:v>Substitution requires equivalence packet</x:v>
      </x:c>
      <x:c r="J9" s="11" t="str">
        <x:v>G5</x:v>
      </x:c>
      <x:c r="K9" s="11" t="str">
        <x:v>Fleet-wide latent defect</x:v>
      </x:c>
    </x:row>
    <x:row r="10">
      <x:c r="A10" s="26" t="str">
        <x:v>Verification</x:v>
      </x:c>
      <x:c r="B10" s="11" t="str">
        <x:v>Tested configuration and raw evidence</x:v>
      </x:c>
      <x:c r="C10" s="11" t="str">
        <x:v>Item/configuration/calibration/test plan</x:v>
      </x:c>
      <x:c r="D10" s="11" t="str">
        <x:v>Finding and allowed envelope</x:v>
      </x:c>
      <x:c r="E10" s="11" t="str">
        <x:v>Raw data, methods, anomalies and signatures</x:v>
      </x:c>
      <x:c r="F10" s="11" t="str">
        <x:v>Analysis with version</x:v>
      </x:c>
      <x:c r="G10" s="11" t="str">
        <x:v>RTEA</x:v>
      </x:c>
      <x:c r="H10" s="11" t="str">
        <x:v>Range-local immutable store</x:v>
      </x:c>
      <x:c r="I10" s="11" t="str">
        <x:v>Independent custody; corrections append</x:v>
      </x:c>
      <x:c r="J10" s="11" t="str">
        <x:v>G3/G4</x:v>
      </x:c>
      <x:c r="K10" s="11" t="str">
        <x:v>False capability claim</x:v>
      </x:c>
    </x:row>
    <x:row r="11">
      <x:c r="A11" s="26" t="str">
        <x:v>Field issue</x:v>
      </x:c>
      <x:c r="B11" s="11" t="str">
        <x:v>Serialized item/configuration</x:v>
      </x:c>
      <x:c r="C11" s="11" t="str">
        <x:v>Qualification and current maintenance state</x:v>
      </x:c>
      <x:c r="D11" s="11" t="str">
        <x:v>Mission assignment and load history</x:v>
      </x:c>
      <x:c r="E11" s="11" t="str">
        <x:v>Release, deviations and limits</x:v>
      </x:c>
      <x:c r="F11" s="11" t="str">
        <x:v>Readiness and custody</x:v>
      </x:c>
      <x:c r="G11" s="11" t="str">
        <x:v>Service/Depot</x:v>
      </x:c>
      <x:c r="H11" s="11" t="str">
        <x:v>Item-local mission package</x:v>
      </x:c>
      <x:c r="I11" s="11" t="str">
        <x:v>Last-authorized state with conflict mark</x:v>
      </x:c>
      <x:c r="J11" s="11" t="str">
        <x:v>G6</x:v>
      </x:c>
      <x:c r="K11" s="11" t="str">
        <x:v>Unsafe or unavailable equipment</x:v>
      </x:c>
    </x:row>
    <x:row r="12">
      <x:c r="A12" s="26" t="str">
        <x:v>Mission use</x:v>
      </x:c>
      <x:c r="B12" s="11" t="str">
        <x:v>Time-bounded operating instance</x:v>
      </x:c>
      <x:c r="C12" s="11" t="str">
        <x:v>Item, crew, authority and environment</x:v>
      </x:c>
      <x:c r="D12" s="11" t="str">
        <x:v>Outcome, exposure, maintenance and lessons</x:v>
      </x:c>
      <x:c r="E12" s="11" t="str">
        <x:v>Commands, state, loads, faults and public effects</x:v>
      </x:c>
      <x:c r="F12" s="11" t="str">
        <x:v>Operational annotations</x:v>
      </x:c>
      <x:c r="G12" s="11" t="str">
        <x:v>Civil command + unit</x:v>
      </x:c>
      <x:c r="H12" s="11" t="str">
        <x:v>Local append-only log</x:v>
      </x:c>
      <x:c r="I12" s="11" t="str">
        <x:v>Authority precedence; preserve conflicts</x:v>
      </x:c>
      <x:c r="J12" s="11" t="str">
        <x:v>Operational</x:v>
      </x:c>
      <x:c r="K12" s="11" t="str">
        <x:v>Cannot explain action/outcome</x:v>
      </x:c>
    </x:row>
    <x:row r="13">
      <x:c r="A13" s="26" t="str">
        <x:v>Repair/change</x:v>
      </x:c>
      <x:c r="B13" s="11" t="str">
        <x:v>New configuration effectivity</x:v>
      </x:c>
      <x:c r="C13" s="11" t="str">
        <x:v>Fault/load history and approved method</x:v>
      </x:c>
      <x:c r="D13" s="11" t="str">
        <x:v>Inspection, limit and return-to-service</x:v>
      </x:c>
      <x:c r="E13" s="11" t="str">
        <x:v>Parts, process, measurements and signoff</x:v>
      </x:c>
      <x:c r="F13" s="11" t="str">
        <x:v>Work order</x:v>
      </x:c>
      <x:c r="G13" s="11" t="str">
        <x:v>Depot/technical authority</x:v>
      </x:c>
      <x:c r="H13" s="11" t="str">
        <x:v>Depot-local package</x:v>
      </x:c>
      <x:c r="I13" s="11" t="str">
        <x:v>No return before signed disposition</x:v>
      </x:c>
      <x:c r="J13" s="11" t="str">
        <x:v>G6 renewal</x:v>
      </x:c>
      <x:c r="K13" s="11" t="str">
        <x:v>Configuration drift</x:v>
      </x:c>
    </x:row>
    <x:row r="14">
      <x:c r="A14" s="26" t="str">
        <x:v>Retirement</x:v>
      </x:c>
      <x:c r="B14" s="11" t="str">
        <x:v>Disposition package</x:v>
      </x:c>
      <x:c r="C14" s="11" t="str">
        <x:v>Item history and hazards</x:v>
      </x:c>
      <x:c r="D14" s="11" t="str">
        <x:v>Recovered materials, records and lessons</x:v>
      </x:c>
      <x:c r="E14" s="11" t="str">
        <x:v>Final state, decontamination and disposition</x:v>
      </x:c>
      <x:c r="F14" s="11" t="str">
        <x:v>Reuse decision</x:v>
      </x:c>
      <x:c r="G14" s="11" t="str">
        <x:v>Lifecycle authority</x:v>
      </x:c>
      <x:c r="H14" s="11" t="str">
        <x:v>Local archive</x:v>
      </x:c>
      <x:c r="I14" s="11" t="str">
        <x:v>Public/controlled retention policy</x:v>
      </x:c>
      <x:c r="J14" s="11" t="str">
        <x:v>G7</x:v>
      </x:c>
      <x:c r="K14" s="11" t="str">
        <x:v>Orphaned hazard or lost evidence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1" hidden="0" customWidth="1"/>
    <x:col min="2" max="2" width="38" hidden="0" customWidth="1"/>
    <x:col min="3" max="3" width="37" hidden="0" customWidth="1"/>
    <x:col min="4" max="4" width="38" hidden="0" customWidth="1"/>
    <x:col min="5" max="5" width="40" hidden="0" customWidth="1"/>
    <x:col min="6" max="6" width="43" hidden="0" customWidth="1"/>
    <x:col min="7" max="7" width="14" hidden="0" customWidth="1"/>
    <x:col min="8" max="8" width="40" hidden="0" customWidth="1"/>
    <x:col min="9" max="9" width="53" hidden="0" customWidth="1"/>
    <x:col min="10" max="10" width="34" hidden="0" customWidth="1"/>
    <x:col min="11" max="11" width="16" hidden="0" customWidth="1"/>
    <x:col min="12" max="12" width="15" hidden="0" customWidth="1"/>
    <x:col min="13" max="13" width="12" hidden="0" customWidth="1"/>
  </x:cols>
  <x:sheetData>
    <x:row r="1">
      <x:c r="A1" s="49" t="str">
        <x:v>Cross-system interoperability trials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</x:row>
    <x:row r="2">
      <x:c r="A2" s="47" t="str">
        <x:v>Twenty trials test boundaries under fault, loss and civil handoff. Thresholds are research hypotheses pending detailed protocols.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</x:row>
    <x:row r="3" ht="3" customHeight="1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3"/>
    </x:row>
    <x:row r="4">
      <x:c r="A4" s="26"/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</x:row>
    <x:row r="5">
      <x:c r="A5" s="25" t="str">
        <x:v>ID</x:v>
      </x:c>
      <x:c r="B5" s="25" t="str">
        <x:v>Mission thread</x:v>
      </x:c>
      <x:c r="C5" s="25" t="str">
        <x:v>Primary systems</x:v>
      </x:c>
      <x:c r="D5" s="25" t="str">
        <x:v>Primitive/interface focus</x:v>
      </x:c>
      <x:c r="E5" s="25" t="str">
        <x:v>Condition</x:v>
      </x:c>
      <x:c r="F5" s="25" t="str">
        <x:v>Fault injection</x:v>
      </x:c>
      <x:c r="G5" s="25" t="str">
        <x:v>Repetitions</x:v>
      </x:c>
      <x:c r="H5" s="25" t="str">
        <x:v>Metric</x:v>
      </x:c>
      <x:c r="I5" s="25" t="str">
        <x:v>Threshold hypothesis</x:v>
      </x:c>
      <x:c r="J5" s="25" t="str">
        <x:v>Evidence owner</x:v>
      </x:c>
      <x:c r="K5" s="25" t="str">
        <x:v>Earliest year</x:v>
      </x:c>
      <x:c r="L5" s="25" t="str">
        <x:v>Status</x:v>
      </x:c>
      <x:c r="M5" s="25" t="str">
        <x:v>Source ID</x:v>
      </x:c>
    </x:row>
    <x:row r="6">
      <x:c r="A6" s="26" t="str">
        <x:v>IT-01</x:v>
      </x:c>
      <x:c r="B6" s="11" t="str">
        <x:v>Flood forecast to pump action</x:v>
      </x:c>
      <x:c r="C6" s="11" t="str">
        <x:v>FIN; HCG-100; C-2</x:v>
      </x:c>
      <x:c r="D6" s="11" t="str">
        <x:v>OBS/TWN/AUT authority-time-state</x:v>
      </x:c>
      <x:c r="E6" s="11" t="str">
        <x:v>Rain, sensor loss, intermittent comms</x:v>
      </x:c>
      <x:c r="F6" s="11" t="str">
        <x:v>Clock drift plus stale model</x:v>
      </x:c>
      <x:c r="G6" s="27" t="n">
        <x:v>30</x:v>
      </x:c>
      <x:c r="H6" s="11" t="str">
        <x:v>Incorrect or late action rate</x:v>
      </x:c>
      <x:c r="I6" s="42" t="str">
        <x:v>&lt;1% high-consequence action outside authority; tail reported</x:v>
      </x:c>
      <x:c r="J6" s="11" t="str">
        <x:v>RTEA</x:v>
      </x:c>
      <x:c r="K6" s="26" t="n">
        <x:v>5</x:v>
      </x:c>
      <x:c r="L6" s="26" t="str">
        <x:v>PLANNED</x:v>
      </x:c>
      <x:c r="M6" s="26" t="str">
        <x:v>S02</x:v>
      </x:c>
    </x:row>
    <x:row r="7">
      <x:c r="A7" s="26" t="str">
        <x:v>IT-02</x:v>
      </x:c>
      <x:c r="B7" s="11" t="str">
        <x:v>Water production to hospital service</x:v>
      </x:c>
      <x:c r="C7" s="11" t="str">
        <x:v>WRG-50; HM-3; PRG-100</x:v>
      </x:c>
      <x:c r="D7" s="11" t="str">
        <x:v>UFX/SEP/CEC media-quality-power</x:v>
      </x:c>
      <x:c r="E7" s="11" t="str">
        <x:v>Unknown source, islanded grid</x:v>
      </x:c>
      <x:c r="F7" s="11" t="str">
        <x:v>Fluid mis-key plus quality sensor fault</x:v>
      </x:c>
      <x:c r="G7" s="27" t="n">
        <x:v>20</x:v>
      </x:c>
      <x:c r="H7" s="11" t="str">
        <x:v>Unsafe release and service continuity</x:v>
      </x:c>
      <x:c r="I7" s="42" t="str">
        <x:v>Zero unsafe release; essential service sustained</x:v>
      </x:c>
      <x:c r="J7" s="11" t="str">
        <x:v>RTEA</x:v>
      </x:c>
      <x:c r="K7" s="26" t="n">
        <x:v>6</x:v>
      </x:c>
      <x:c r="L7" s="26" t="str">
        <x:v>PLANNED</x:v>
      </x:c>
      <x:c r="M7" s="26" t="str">
        <x:v>S03</x:v>
      </x:c>
    </x:row>
    <x:row r="8">
      <x:c r="A8" s="26" t="str">
        <x:v>IT-03</x:v>
      </x:c>
      <x:c r="B8" s="11" t="str">
        <x:v>Grid black start and clinical transfer</x:v>
      </x:c>
      <x:c r="C8" s="11" t="str">
        <x:v>PRG-100; HM-3; C-2</x:v>
      </x:c>
      <x:c r="D8" s="11" t="str">
        <x:v>UFX/CEC protection-authority-audit</x:v>
      </x:c>
      <x:c r="E8" s="11" t="str">
        <x:v>No backhaul, mixed sources</x:v>
      </x:c>
      <x:c r="F8" s="11" t="str">
        <x:v>Protection mismatch and identity outage</x:v>
      </x:c>
      <x:c r="G8" s="27" t="n">
        <x:v>24</x:v>
      </x:c>
      <x:c r="H8" s="11" t="str">
        <x:v>Safe energization and clinical interruption</x:v>
      </x:c>
      <x:c r="I8" s="42" t="str">
        <x:v>No uncommanded energization; bounded transfer interruption</x:v>
      </x:c>
      <x:c r="J8" s="11" t="str">
        <x:v>RTEA</x:v>
      </x:c>
      <x:c r="K8" s="26" t="n">
        <x:v>6</x:v>
      </x:c>
      <x:c r="L8" s="26" t="str">
        <x:v>PLANNED</x:v>
      </x:c>
      <x:c r="M8" s="26" t="str">
        <x:v>S03</x:v>
      </x:c>
    </x:row>
    <x:row r="9">
      <x:c r="A9" s="26" t="str">
        <x:v>IT-04</x:v>
      </x:c>
      <x:c r="B9" s="11" t="str">
        <x:v>Fire mixed-fleet night operation</x:v>
      </x:c>
      <x:c r="C9" s="11" t="str">
        <x:v>IIN; IFCG; FA-2/3/4; C-3</x:v>
      </x:c>
      <x:c r="D9" s="11" t="str">
        <x:v>OBS/TWN/AUT/CEC</x:v>
      </x:c>
      <x:c r="E9" s="11" t="str">
        <x:v>Smoke, darkness, saturated airspace</x:v>
      </x:c>
      <x:c r="F9" s="11" t="str">
        <x:v>GNSS error plus lost link</x:v>
      </x:c>
      <x:c r="G9" s="27" t="n">
        <x:v>40</x:v>
      </x:c>
      <x:c r="H9" s="11" t="str">
        <x:v>Separation, authority and useful effect</x:v>
      </x:c>
      <x:c r="I9" s="42" t="str">
        <x:v>No protected-zone incursion; objective yield reported</x:v>
      </x:c>
      <x:c r="J9" s="11" t="str">
        <x:v>RTEA</x:v>
      </x:c>
      <x:c r="K9" s="26" t="n">
        <x:v>7</x:v>
      </x:c>
      <x:c r="L9" s="26" t="str">
        <x:v>PLANNED</x:v>
      </x:c>
      <x:c r="M9" s="26" t="str">
        <x:v>S09</x:v>
      </x:c>
    </x:row>
    <x:row r="10">
      <x:c r="A10" s="26" t="str">
        <x:v>IT-05</x:v>
      </x:c>
      <x:c r="B10" s="11" t="str">
        <x:v>Breach arrest with utility corridor</x:v>
      </x:c>
      <x:c r="C10" s="11" t="str">
        <x:v>HCG-100; EW-2; EW-4</x:v>
      </x:c>
      <x:c r="D10" s="11" t="str">
        <x:v>AUT/UFX/FAB/MAT</x:v>
      </x:c>
      <x:c r="E10" s="11" t="str">
        <x:v>Live flow, debris, unstable bank</x:v>
      </x:c>
      <x:c r="F10" s="11" t="str">
        <x:v>Shared perception fault and pressure surge</x:v>
      </x:c>
      <x:c r="G10" s="27" t="n">
        <x:v>18</x:v>
      </x:c>
      <x:c r="H10" s="11" t="str">
        <x:v>Flow reduction, exposure and structural state</x:v>
      </x:c>
      <x:c r="I10" s="42" t="str">
        <x:v>Positive reduction with safe-state containment</x:v>
      </x:c>
      <x:c r="J10" s="11" t="str">
        <x:v>RTEA</x:v>
      </x:c>
      <x:c r="K10" s="26" t="n">
        <x:v>8</x:v>
      </x:c>
      <x:c r="L10" s="26" t="str">
        <x:v>PLANNED</x:v>
      </x:c>
      <x:c r="M10" s="26" t="str">
        <x:v>S09</x:v>
      </x:c>
    </x:row>
    <x:row r="11">
      <x:c r="A11" s="26" t="str">
        <x:v>IT-06</x:v>
      </x:c>
      <x:c r="B11" s="11" t="str">
        <x:v>Autonomous route opening</x:v>
      </x:c>
      <x:c r="C11" s="11" t="str">
        <x:v>EW-2; R-4; AM-3</x:v>
      </x:c>
      <x:c r="D11" s="11" t="str">
        <x:v>AUT/OBS/CEC/IDT</x:v>
      </x:c>
      <x:c r="E11" s="11" t="str">
        <x:v>Mixed public traffic and debris</x:v>
      </x:c>
      <x:c r="F11" s="11" t="str">
        <x:v>Fleet model bias and comms partition</x:v>
      </x:c>
      <x:c r="G11" s="27" t="n">
        <x:v>30</x:v>
      </x:c>
      <x:c r="H11" s="11" t="str">
        <x:v>Lane-km/day and near-harm events</x:v>
      </x:c>
      <x:c r="I11" s="42" t="str">
        <x:v>Mission gain with zero unauthorized contact</x:v>
      </x:c>
      <x:c r="J11" s="11" t="str">
        <x:v>RTEA</x:v>
      </x:c>
      <x:c r="K11" s="26" t="n">
        <x:v>6</x:v>
      </x:c>
      <x:c r="L11" s="26" t="str">
        <x:v>PLANNED</x:v>
      </x:c>
      <x:c r="M11" s="26" t="str">
        <x:v>S05</x:v>
      </x:c>
    </x:row>
    <x:row r="12">
      <x:c r="A12" s="26" t="str">
        <x:v>IT-07</x:v>
      </x:c>
      <x:c r="B12" s="11" t="str">
        <x:v>Rapid bridge from digital package</x:v>
      </x:c>
      <x:c r="C12" s="11" t="str">
        <x:v>BR-2; EW-2; R-4</x:v>
      </x:c>
      <x:c r="D12" s="11" t="str">
        <x:v>FAB/MAT/IDT</x:v>
      </x:c>
      <x:c r="E12" s="11" t="str">
        <x:v>Unprepared wet site</x:v>
      </x:c>
      <x:c r="F12" s="11" t="str">
        <x:v>Wrong version and unqualified material</x:v>
      </x:c>
      <x:c r="G12" s="27" t="n">
        <x:v>12</x:v>
      </x:c>
      <x:c r="H12" s="11" t="str">
        <x:v>Time to accepted load and defect detection</x:v>
      </x:c>
      <x:c r="I12" s="42" t="str">
        <x:v>All seeded errors detected before load</x:v>
      </x:c>
      <x:c r="J12" s="11" t="str">
        <x:v>RTEA</x:v>
      </x:c>
      <x:c r="K12" s="26" t="n">
        <x:v>7</x:v>
      </x:c>
      <x:c r="L12" s="26" t="str">
        <x:v>PLANNED</x:v>
      </x:c>
      <x:c r="M12" s="26" t="str">
        <x:v>S08</x:v>
      </x:c>
    </x:row>
    <x:row r="13">
      <x:c r="A13" s="26" t="str">
        <x:v>IT-08</x:v>
      </x:c>
      <x:c r="B13" s="11" t="str">
        <x:v>Alternate-supplier cold activation</x:v>
      </x:c>
      <x:c r="C13" s="11" t="str">
        <x:v>All product families</x:v>
      </x:c>
      <x:c r="D13" s="11" t="str">
        <x:v>IDT</x:v>
      </x:c>
      <x:c r="E13" s="11" t="str">
        <x:v>Primary supplier unavailable</x:v>
      </x:c>
      <x:c r="F13" s="11" t="str">
        <x:v>Approved and unapproved substitutions</x:v>
      </x:c>
      <x:c r="G13" s="27" t="n">
        <x:v>10</x:v>
      </x:c>
      <x:c r="H13" s="11" t="str">
        <x:v>Days to qualified output; drift rate</x:v>
      </x:c>
      <x:c r="I13" s="42" t="str">
        <x:v>100% unapproved drift detected</x:v>
      </x:c>
      <x:c r="J13" s="11" t="str">
        <x:v>Manufacturing Administration + RTEA</x:v>
      </x:c>
      <x:c r="K13" s="26" t="n">
        <x:v>5</x:v>
      </x:c>
      <x:c r="L13" s="26" t="str">
        <x:v>PLANNED</x:v>
      </x:c>
      <x:c r="M13" s="26" t="str">
        <x:v>S08</x:v>
      </x:c>
    </x:row>
    <x:row r="14">
      <x:c r="A14" s="26" t="str">
        <x:v>IT-09</x:v>
      </x:c>
      <x:c r="B14" s="11" t="str">
        <x:v>72-hour isolated incident network</x:v>
      </x:c>
      <x:c r="C14" s="11" t="str">
        <x:v>C-2; C-3; C-4</x:v>
      </x:c>
      <x:c r="D14" s="11" t="str">
        <x:v>CEC</x:v>
      </x:c>
      <x:c r="E14" s="11" t="str">
        <x:v>No cloud/backhaul; high demand</x:v>
      </x:c>
      <x:c r="F14" s="11" t="str">
        <x:v>Identity outage and congestion</x:v>
      </x:c>
      <x:c r="G14" s="27" t="n">
        <x:v>20</x:v>
      </x:c>
      <x:c r="H14" s="11" t="str">
        <x:v>Life-safety availability and reconciliation errors</x:v>
      </x:c>
      <x:c r="I14" s="42" t="str">
        <x:v>&gt;99.9% priority service; no silent conflict loss</x:v>
      </x:c>
      <x:c r="J14" s="11" t="str">
        <x:v>RTEA</x:v>
      </x:c>
      <x:c r="K14" s="26" t="n">
        <x:v>4</x:v>
      </x:c>
      <x:c r="L14" s="26" t="str">
        <x:v>PLANNED</x:v>
      </x:c>
      <x:c r="M14" s="26" t="str">
        <x:v>S04</x:v>
      </x:c>
    </x:row>
    <x:row r="15">
      <x:c r="A15" s="26" t="str">
        <x:v>IT-10</x:v>
      </x:c>
      <x:c r="B15" s="11" t="str">
        <x:v>Model tournament with decisions</x:v>
      </x:c>
      <x:c r="C15" s="11" t="str">
        <x:v>FIN; IIN; PRG-100 planning</x:v>
      </x:c>
      <x:c r="D15" s="11" t="str">
        <x:v>TWN/OBS</x:v>
      </x:c>
      <x:c r="E15" s="11" t="str">
        <x:v>Blind historical plus prospective events</x:v>
      </x:c>
      <x:c r="F15" s="11" t="str">
        <x:v>Distribution shift and adversarial missingness</x:v>
      </x:c>
      <x:c r="G15" s="27" t="n">
        <x:v>50</x:v>
      </x:c>
      <x:c r="H15" s="11" t="str">
        <x:v>Calibration and decision regret</x:v>
      </x:c>
      <x:c r="I15" s="42" t="str">
        <x:v>Improves preregistered decision score without tail degradation</x:v>
      </x:c>
      <x:c r="J15" s="11" t="str">
        <x:v>National Laboratories + RTEA</x:v>
      </x:c>
      <x:c r="K15" s="26" t="n">
        <x:v>4</x:v>
      </x:c>
      <x:c r="L15" s="26" t="str">
        <x:v>PLANNED</x:v>
      </x:c>
      <x:c r="M15" s="26" t="str">
        <x:v>S05</x:v>
      </x:c>
    </x:row>
    <x:row r="16">
      <x:c r="A16" s="26" t="str">
        <x:v>IT-11</x:v>
      </x:c>
      <x:c r="B16" s="11" t="str">
        <x:v>Manual-safe utility operation</x:v>
      </x:c>
      <x:c r="C16" s="11" t="str">
        <x:v>WRG-50; PRG-100; HCG-100</x:v>
      </x:c>
      <x:c r="D16" s="11" t="str">
        <x:v>UFX/CEC</x:v>
      </x:c>
      <x:c r="E16" s="11" t="str">
        <x:v>All supervisory software unavailable</x:v>
      </x:c>
      <x:c r="F16" s="11" t="str">
        <x:v>Corrupt signed update</x:v>
      </x:c>
      <x:c r="G16" s="27" t="n">
        <x:v>18</x:v>
      </x:c>
      <x:c r="H16" s="11" t="str">
        <x:v>Essential output and unsafe act count</x:v>
      </x:c>
      <x:c r="I16" s="42" t="str">
        <x:v>Bounded essential output; zero unsafe act</x:v>
      </x:c>
      <x:c r="J16" s="11" t="str">
        <x:v>RTEA</x:v>
      </x:c>
      <x:c r="K16" s="26" t="n">
        <x:v>7</x:v>
      </x:c>
      <x:c r="L16" s="26" t="str">
        <x:v>PLANNED</x:v>
      </x:c>
      <x:c r="M16" s="26" t="str">
        <x:v>S06</x:v>
      </x:c>
    </x:row>
    <x:row r="17">
      <x:c r="A17" s="26" t="str">
        <x:v>IT-12</x:v>
      </x:c>
      <x:c r="B17" s="11" t="str">
        <x:v>Water-energy platform shore interface</x:v>
      </x:c>
      <x:c r="C17" s="11" t="str">
        <x:v>N-WEP; WRG-50; PRG-100</x:v>
      </x:c>
      <x:c r="D17" s="11" t="str">
        <x:v>UFX/SEP/CEC/IDT</x:v>
      </x:c>
      <x:c r="E17" s="11" t="str">
        <x:v>Port damage and contaminated intake</x:v>
      </x:c>
      <x:c r="F17" s="11" t="str">
        <x:v>Cable/pipe mismatch and cyber partition</x:v>
      </x:c>
      <x:c r="G17" s="27" t="n">
        <x:v>12</x:v>
      </x:c>
      <x:c r="H17" s="11" t="str">
        <x:v>Days to compliant water/power service</x:v>
      </x:c>
      <x:c r="I17" s="42" t="str">
        <x:v>No ad hoc unsafe adapter; complete residual route</x:v>
      </x:c>
      <x:c r="J17" s="11" t="str">
        <x:v>RTEA</x:v>
      </x:c>
      <x:c r="K17" s="26" t="n">
        <x:v>10</x:v>
      </x:c>
      <x:c r="L17" s="26" t="str">
        <x:v>PLANNED</x:v>
      </x:c>
      <x:c r="M17" s="26" t="str">
        <x:v>S03</x:v>
      </x:c>
    </x:row>
    <x:row r="18">
      <x:c r="A18" s="26" t="str">
        <x:v>IT-13</x:v>
      </x:c>
      <x:c r="B18" s="11" t="str">
        <x:v>Maritime health transfer</x:v>
      </x:c>
      <x:c r="C18" s="11" t="str">
        <x:v>MH-1; MH-2; AM-3; C-2</x:v>
      </x:c>
      <x:c r="D18" s="11" t="str">
        <x:v>UFX/CEC/IDT</x:v>
      </x:c>
      <x:c r="E18" s="11" t="str">
        <x:v>High patient load, sea state, grid loss</x:v>
      </x:c>
      <x:c r="F18" s="11" t="str">
        <x:v>Record conflict and oxygen coupling fault</x:v>
      </x:c>
      <x:c r="G18" s="27" t="n">
        <x:v>20</x:v>
      </x:c>
      <x:c r="H18" s="11" t="str">
        <x:v>Complete appropriate patient journeys</x:v>
      </x:c>
      <x:c r="I18" s="42" t="str">
        <x:v>No identity/medication loss; bounded transfer time</x:v>
      </x:c>
      <x:c r="J18" s="11" t="str">
        <x:v>Clinical authority + RTEA</x:v>
      </x:c>
      <x:c r="K18" s="26" t="n">
        <x:v>8</x:v>
      </x:c>
      <x:c r="L18" s="26" t="str">
        <x:v>PLANNED</x:v>
      </x:c>
      <x:c r="M18" s="26" t="str">
        <x:v>S04</x:v>
      </x:c>
    </x:row>
    <x:row r="19">
      <x:c r="A19" s="26" t="str">
        <x:v>IT-14</x:v>
      </x:c>
      <x:c r="B19" s="11" t="str">
        <x:v>Distributed bioproduct switch</x:v>
      </x:c>
      <x:c r="C19" s="11" t="str">
        <x:v>MH-3; HM-3; production node</x:v>
      </x:c>
      <x:c r="D19" s="11" t="str">
        <x:v>BIO/SEP/IDT/CEC</x:v>
      </x:c>
      <x:c r="E19" s="11" t="str">
        <x:v>No cloud, variable inputs</x:v>
      </x:c>
      <x:c r="F19" s="11" t="str">
        <x:v>Incomplete cleaning and recipe mismatch</x:v>
      </x:c>
      <x:c r="G19" s="27" t="n">
        <x:v>20</x:v>
      </x:c>
      <x:c r="H19" s="11" t="str">
        <x:v>Correct independent batch disposition</x:v>
      </x:c>
      <x:c r="I19" s="42" t="str">
        <x:v>All seeded contamination/version faults held</x:v>
      </x:c>
      <x:c r="J19" s="11" t="str">
        <x:v>Independent release authority</x:v>
      </x:c>
      <x:c r="K19" s="26" t="n">
        <x:v>9</x:v>
      </x:c>
      <x:c r="L19" s="26" t="str">
        <x:v>PLANNED</x:v>
      </x:c>
      <x:c r="M19" s="26" t="str">
        <x:v>S08</x:v>
      </x:c>
    </x:row>
    <x:row r="20">
      <x:c r="A20" s="26" t="str">
        <x:v>IT-15</x:v>
      </x:c>
      <x:c r="B20" s="11" t="str">
        <x:v>Structural state to route reopening</x:v>
      </x:c>
      <x:c r="C20" s="11" t="str">
        <x:v>BR-2; R-4; EW-2</x:v>
      </x:c>
      <x:c r="D20" s="11" t="str">
        <x:v>OBS/MAT/TWN/AUT</x:v>
      </x:c>
      <x:c r="E20" s="11" t="str">
        <x:v>Aftershock and sensor attrition</x:v>
      </x:c>
      <x:c r="F20" s="11" t="str">
        <x:v>False health signal</x:v>
      </x:c>
      <x:c r="G20" s="27" t="n">
        <x:v>25</x:v>
      </x:c>
      <x:c r="H20" s="11" t="str">
        <x:v>Incorrect occupancy/load decision</x:v>
      </x:c>
      <x:c r="I20" s="42" t="str">
        <x:v>No unsafe reopen; uncertainty visible</x:v>
      </x:c>
      <x:c r="J20" s="11" t="str">
        <x:v>RTEA</x:v>
      </x:c>
      <x:c r="K20" s="26" t="n">
        <x:v>7</x:v>
      </x:c>
      <x:c r="L20" s="26" t="str">
        <x:v>PLANNED</x:v>
      </x:c>
      <x:c r="M20" s="26" t="str">
        <x:v>S07</x:v>
      </x:c>
    </x:row>
    <x:row r="21">
      <x:c r="A21" s="26" t="str">
        <x:v>IT-16</x:v>
      </x:c>
      <x:c r="B21" s="11" t="str">
        <x:v>Public shelter utility federation</x:v>
      </x:c>
      <x:c r="C21" s="11" t="str">
        <x:v>WRG-50; PRG-100; HM-3; C-2</x:v>
      </x:c>
      <x:c r="D21" s="11" t="str">
        <x:v>UFX/CEC/OBS</x:v>
      </x:c>
      <x:c r="E21" s="11" t="str">
        <x:v>Heat/smoke, vulnerable population</x:v>
      </x:c>
      <x:c r="F21" s="11" t="str">
        <x:v>Metering loss and priority inversion</x:v>
      </x:c>
      <x:c r="G21" s="27" t="n">
        <x:v>20</x:v>
      </x:c>
      <x:c r="H21" s="11" t="str">
        <x:v>People-hours at service by vulnerability</x:v>
      </x:c>
      <x:c r="I21" s="42" t="str">
        <x:v>Tail service floor met; no hidden subgroup loss</x:v>
      </x:c>
      <x:c r="J21" s="11" t="str">
        <x:v>Public Assurance + RTEA</x:v>
      </x:c>
      <x:c r="K21" s="26" t="n">
        <x:v>6</x:v>
      </x:c>
      <x:c r="L21" s="26" t="str">
        <x:v>PLANNED</x:v>
      </x:c>
      <x:c r="M21" s="26" t="str">
        <x:v>S10</x:v>
      </x:c>
    </x:row>
    <x:row r="22">
      <x:c r="A22" s="26" t="str">
        <x:v>IT-17</x:v>
      </x:c>
      <x:c r="B22" s="11" t="str">
        <x:v>Cross-region formation swap</x:v>
      </x:c>
      <x:c r="C22" s="11" t="str">
        <x:v>Two independently built formations</x:v>
      </x:c>
      <x:c r="D22" s="11" t="str">
        <x:v>All primitives</x:v>
      </x:c>
      <x:c r="E22" s="11" t="str">
        <x:v>Different vendors and depots</x:v>
      </x:c>
      <x:c r="F22" s="11" t="str">
        <x:v>One module from alternate baseline</x:v>
      </x:c>
      <x:c r="G22" s="27" t="n">
        <x:v>16</x:v>
      </x:c>
      <x:c r="H22" s="11" t="str">
        <x:v>Time and success of recomposition</x:v>
      </x:c>
      <x:c r="I22" s="42" t="str">
        <x:v>No vendor engineer required; all deviations visible</x:v>
      </x:c>
      <x:c r="J22" s="11" t="str">
        <x:v>RTEA</x:v>
      </x:c>
      <x:c r="K22" s="26" t="n">
        <x:v>10</x:v>
      </x:c>
      <x:c r="L22" s="26" t="str">
        <x:v>PLANNED</x:v>
      </x:c>
      <x:c r="M22" s="26" t="str">
        <x:v>S01</x:v>
      </x:c>
    </x:row>
    <x:row r="23">
      <x:c r="A23" s="26" t="str">
        <x:v>IT-18</x:v>
      </x:c>
      <x:c r="B23" s="11" t="str">
        <x:v>International partner handoff</x:v>
      </x:c>
      <x:c r="C23" s="11" t="str">
        <x:v>WRG-50; PRG-100; C-2</x:v>
      </x:c>
      <x:c r="D23" s="11" t="str">
        <x:v>AUTH/IDT/CEC/UFX</x:v>
      </x:c>
      <x:c r="E23" s="11" t="str">
        <x:v>Different law, language and operator cadre</x:v>
      </x:c>
      <x:c r="F23" s="11" t="str">
        <x:v>Credential and terminology mismatch</x:v>
      </x:c>
      <x:c r="G23" s="27" t="n">
        <x:v>12</x:v>
      </x:c>
      <x:c r="H23" s="11" t="str">
        <x:v>Hours to sovereign partner control</x:v>
      </x:c>
      <x:c r="I23" s="42" t="str">
        <x:v>Partner controls operation/data with no unsafe gap</x:v>
      </x:c>
      <x:c r="J23" s="11" t="str">
        <x:v>Civil authority + RTEA</x:v>
      </x:c>
      <x:c r="K23" s="26" t="n">
        <x:v>12</x:v>
      </x:c>
      <x:c r="L23" s="26" t="str">
        <x:v>PLANNED</x:v>
      </x:c>
      <x:c r="M23" s="26" t="str">
        <x:v>S10</x:v>
      </x:c>
    </x:row>
    <x:row r="24">
      <x:c r="A24" s="26" t="str">
        <x:v>IT-19</x:v>
      </x:c>
      <x:c r="B24" s="11" t="str">
        <x:v>Fleet software partition and rollback</x:v>
      </x:c>
      <x:c r="C24" s="11" t="str">
        <x:v>All autonomous/digital families</x:v>
      </x:c>
      <x:c r="D24" s="11" t="str">
        <x:v>CEC/IDT/AUT</x:v>
      </x:c>
      <x:c r="E24" s="11" t="str">
        <x:v>National fleet staged update</x:v>
      </x:c>
      <x:c r="F24" s="11" t="str">
        <x:v>Malicious or defective signed package</x:v>
      </x:c>
      <x:c r="G24" s="27" t="n">
        <x:v>24</x:v>
      </x:c>
      <x:c r="H24" s="11" t="str">
        <x:v>Affected fraction and recovery time</x:v>
      </x:c>
      <x:c r="I24" s="42" t="str">
        <x:v>Canary contains fault; unaffected partitions continue</x:v>
      </x:c>
      <x:c r="J24" s="11" t="str">
        <x:v>RTEA cyber directorate</x:v>
      </x:c>
      <x:c r="K24" s="26" t="n">
        <x:v>6</x:v>
      </x:c>
      <x:c r="L24" s="26" t="str">
        <x:v>PLANNED</x:v>
      </x:c>
      <x:c r="M24" s="26" t="str">
        <x:v>S06</x:v>
      </x:c>
    </x:row>
    <x:row r="25">
      <x:c r="A25" s="26" t="str">
        <x:v>IT-20</x:v>
      </x:c>
      <x:c r="B25" s="11" t="str">
        <x:v>Ninety-day complete campaign</x:v>
      </x:c>
      <x:c r="C25" s="11" t="str">
        <x:v>All representative families</x:v>
      </x:c>
      <x:c r="D25" s="11" t="str">
        <x:v>All primitives</x:v>
      </x:c>
      <x:c r="E25" s="11" t="str">
        <x:v>Three simultaneous theaters</x:v>
      </x:c>
      <x:c r="F25" s="11" t="str">
        <x:v>Supplier loss, comms partition, model error, workforce turnover</x:v>
      </x:c>
      <x:c r="G25" s="27" t="n">
        <x:v>8</x:v>
      </x:c>
      <x:c r="H25" s="11" t="str">
        <x:v>Population-service-time, harm and availability</x:v>
      </x:c>
      <x:c r="I25" s="42" t="str">
        <x:v>Meets service floors without unbounded common mode</x:v>
      </x:c>
      <x:c r="J25" s="11" t="str">
        <x:v>RTEA</x:v>
      </x:c>
      <x:c r="K25" s="26" t="n">
        <x:v>15</x:v>
      </x:c>
      <x:c r="L25" s="26" t="str">
        <x:v>PLANNED</x:v>
      </x:c>
      <x:c r="M25" s="26" t="str">
        <x:v>S02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54" hidden="0" customWidth="1"/>
    <x:col min="4" max="4" width="36" hidden="0" customWidth="1"/>
    <x:col min="5" max="5" width="39" hidden="0" customWidth="1"/>
    <x:col min="6" max="6" width="47" hidden="0" customWidth="1"/>
    <x:col min="7" max="7" width="46" hidden="0" customWidth="1"/>
    <x:col min="8" max="8" width="39" hidden="0" customWidth="1"/>
    <x:col min="9" max="9" width="39" hidden="0" customWidth="1"/>
  </x:cols>
  <x:sheetData>
    <x:row r="1">
      <x:c r="A1" s="49" t="str">
        <x:v>Twenty-five-year architecture transition</x:v>
      </x:c>
      <x:c r="B1" s="46"/>
      <x:c r="C1" s="46"/>
      <x:c r="D1" s="46"/>
      <x:c r="E1" s="46"/>
      <x:c r="F1" s="46"/>
      <x:c r="G1" s="46"/>
      <x:c r="H1" s="46"/>
      <x:c r="I1" s="46"/>
    </x:row>
    <x:row r="2">
      <x:c r="A2" s="47" t="str">
        <x:v>Architecture is delivered through reference implementations, conformance services and repeated field recomposition, not publication alone.</x:v>
      </x:c>
      <x:c r="B2" s="47"/>
      <x:c r="C2" s="47"/>
      <x:c r="D2" s="47"/>
      <x:c r="E2" s="47"/>
      <x:c r="F2" s="47"/>
      <x:c r="G2" s="47"/>
      <x:c r="H2" s="47"/>
      <x:c r="I2" s="47"/>
    </x:row>
    <x:row r="3" ht="3" customHeight="1">
      <x:c r="A3" s="48"/>
      <x:c r="B3" s="48"/>
      <x:c r="C3" s="48"/>
      <x:c r="D3" s="48"/>
      <x:c r="E3" s="48"/>
      <x:c r="F3" s="48"/>
      <x:c r="G3" s="48"/>
      <x:c r="H3" s="48"/>
      <x:c r="I3" s="48"/>
      <x:c r="J3" s="3"/>
      <x:c r="K3" s="3"/>
      <x:c r="L3" s="3"/>
      <x:c r="M3" s="3"/>
      <x:c r="N3" s="3"/>
    </x:row>
    <x:row r="4">
      <x:c r="A4" s="26"/>
      <x:c r="B4" s="26"/>
      <x:c r="C4" s="26"/>
      <x:c r="D4" s="26"/>
      <x:c r="E4" s="26"/>
      <x:c r="F4" s="26"/>
      <x:c r="G4" s="26"/>
      <x:c r="H4" s="26"/>
      <x:c r="I4" s="26"/>
    </x:row>
    <x:row r="5">
      <x:c r="A5" s="25" t="str">
        <x:v>Phase</x:v>
      </x:c>
      <x:c r="B5" s="25" t="str">
        <x:v>Years</x:v>
      </x:c>
      <x:c r="C5" s="25" t="str">
        <x:v>Architecture deliverable</x:v>
      </x:c>
      <x:c r="D5" s="25" t="str">
        <x:v>Institution</x:v>
      </x:c>
      <x:c r="E5" s="25" t="str">
        <x:v>Dependency</x:v>
      </x:c>
      <x:c r="F5" s="25" t="str">
        <x:v>Exit evidence</x:v>
      </x:c>
      <x:c r="G5" s="25" t="str">
        <x:v>Procurement rule</x:v>
      </x:c>
      <x:c r="H5" s="25" t="str">
        <x:v>Industrial action</x:v>
      </x:c>
      <x:c r="I5" s="25" t="str">
        <x:v>Rendering consequence</x:v>
      </x:c>
    </x:row>
    <x:row r="6">
      <x:c r="A6" s="26" t="str">
        <x:v>Constitute</x:v>
      </x:c>
      <x:c r="B6" s="26" t="str">
        <x:v>1–2</x:v>
      </x:c>
      <x:c r="C6" s="11" t="str">
        <x:v>Architecture Board, RTEA conformance directorate, interface registry and change law</x:v>
      </x:c>
      <x:c r="D6" s="11" t="str">
        <x:v>Secretary / Congress / RTEA</x:v>
      </x:c>
      <x:c r="E6" s="11" t="str">
        <x:v>Institutional authorities</x:v>
      </x:c>
      <x:c r="F6" s="11" t="str">
        <x:v>Published decision rights and versioned registry</x:v>
      </x:c>
      <x:c r="G6" s="11" t="str">
        <x:v>No new major system without interface allocation</x:v>
      </x:c>
      <x:c r="H6" s="11" t="str">
        <x:v>Fund small-firm standards access</x:v>
      </x:c>
      <x:c r="I6" s="11" t="str">
        <x:v>No change; all systems blocked</x:v>
      </x:c>
    </x:row>
    <x:row r="7">
      <x:c r="A7" s="26" t="str">
        <x:v>Reference layer</x:v>
      </x:c>
      <x:c r="B7" s="26" t="str">
        <x:v>2–4</x:v>
      </x:c>
      <x:c r="C7" s="11" t="str">
        <x:v>Reference implementations for identity, time, data, authority, power and fluid boundaries</x:v>
      </x:c>
      <x:c r="D7" s="11" t="str">
        <x:v>National Laboratories</x:v>
      </x:c>
      <x:c r="E7" s="11" t="str">
        <x:v>Initial interface profiles</x:v>
      </x:c>
      <x:c r="F7" s="11" t="str">
        <x:v>Independent labs reproduce boundary behavior</x:v>
      </x:c>
      <x:c r="G7" s="11" t="str">
        <x:v>Prototype contracts include data rights and test artifacts</x:v>
      </x:c>
      <x:c r="H7" s="11" t="str">
        <x:v>Competing reference vendors</x:v>
      </x:c>
      <x:c r="I7" s="11" t="str">
        <x:v>Architecture drawings only</x:v>
      </x:c>
    </x:row>
    <x:row r="8">
      <x:c r="A8" s="26" t="str">
        <x:v>Conformance services</x:v>
      </x:c>
      <x:c r="B8" s="26" t="str">
        <x:v>3–6</x:v>
      </x:c>
      <x:c r="C8" s="11" t="str">
        <x:v>Portable test harnesses, fixtures, simulators, certificates and public result registry</x:v>
      </x:c>
      <x:c r="D8" s="11" t="str">
        <x:v>RTEA / Proving Network</x:v>
      </x:c>
      <x:c r="E8" s="11" t="str">
        <x:v>Reference layer</x:v>
      </x:c>
      <x:c r="F8" s="11" t="str">
        <x:v>Cross-lab repeatability and seeded-fault detection</x:v>
      </x:c>
      <x:c r="G8" s="11" t="str">
        <x:v>Payment tied to conformance evidence</x:v>
      </x:c>
      <x:c r="H8" s="11" t="str">
        <x:v>Regional conformance labs</x:v>
      </x:c>
      <x:c r="I8" s="11" t="str">
        <x:v>Subsystem form may be explored</x:v>
      </x:c>
    </x:row>
    <x:row r="9">
      <x:c r="A9" s="26" t="str">
        <x:v>Cross-hazard trials</x:v>
      </x:c>
      <x:c r="B9" s="26" t="str">
        <x:v>5–10</x:v>
      </x:c>
      <x:c r="C9" s="11" t="str">
        <x:v>IT-01 through IT-19 across utilities, hazards, health, mobility and industry</x:v>
      </x:c>
      <x:c r="D9" s="11" t="str">
        <x:v>RTEA + Service Tech Commands</x:v>
      </x:c>
      <x:c r="E9" s="11" t="str">
        <x:v>Representative prototypes</x:v>
      </x:c>
      <x:c r="F9" s="11" t="str">
        <x:v>No unresolved critical common mode in tested threads</x:v>
      </x:c>
      <x:c r="G9" s="11" t="str">
        <x:v>Down-select on mission effect and openness</x:v>
      </x:c>
      <x:c r="H9" s="11" t="str">
        <x:v>Second sources and depot pilots</x:v>
      </x:c>
      <x:c r="I9" s="11" t="str">
        <x:v>Only R3 systems may enter rendering review</x:v>
      </x:c>
    </x:row>
    <x:row r="10">
      <x:c r="A10" s="26" t="str">
        <x:v>Formation qualification</x:v>
      </x:c>
      <x:c r="B10" s="26" t="str">
        <x:v>8–15</x:v>
      </x:c>
      <x:c r="C10" s="11" t="str">
        <x:v>Cold deployment, recomposition, manual-safe operation, public-effect and civil handoff</x:v>
      </x:c>
      <x:c r="D10" s="11" t="str">
        <x:v>RTEA</x:v>
      </x:c>
      <x:c r="E10" s="11" t="str">
        <x:v>Service formations and trained operators</x:v>
      </x:c>
      <x:c r="F10" s="11" t="str">
        <x:v>Replicated complete mission threads</x:v>
      </x:c>
      <x:c r="G10" s="11" t="str">
        <x:v>No fleet scale before formation evidence</x:v>
      </x:c>
      <x:c r="H10" s="11" t="str">
        <x:v>Low-rate production and repair network</x:v>
      </x:c>
      <x:c r="I10" s="11" t="str">
        <x:v>Render complete operating formation</x:v>
      </x:c>
    </x:row>
    <x:row r="11">
      <x:c r="A11" s="26" t="str">
        <x:v>National scaling</x:v>
      </x:c>
      <x:c r="B11" s="26" t="str">
        <x:v>12–20</x:v>
      </x:c>
      <x:c r="C11" s="11" t="str">
        <x:v>Multi-region compatibility, international profiles and surge manufacturing</x:v>
      </x:c>
      <x:c r="D11" s="11" t="str">
        <x:v>Manufacturing Administration / Commands</x:v>
      </x:c>
      <x:c r="E11" s="11" t="str">
        <x:v>Qualified product families</x:v>
      </x:c>
      <x:c r="F11" s="11" t="str">
        <x:v>Cold alternate-supplier and partner handoff</x:v>
      </x:c>
      <x:c r="G11" s="11" t="str">
        <x:v>Compete modules behind stable boundaries</x:v>
      </x:c>
      <x:c r="H11" s="11" t="str">
        <x:v>Multiple first-tier resilience firms</x:v>
      </x:c>
      <x:c r="I11" s="11" t="str">
        <x:v>Variants justified by envelope</x:v>
      </x:c>
    </x:row>
    <x:row r="12">
      <x:c r="A12" s="26" t="str">
        <x:v>Renewal</x:v>
      </x:c>
      <x:c r="B12" s="26" t="str">
        <x:v>16–25</x:v>
      </x:c>
      <x:c r="C12" s="11" t="str">
        <x:v>Interface evolution, backward compatibility, retirement and open licensing</x:v>
      </x:c>
      <x:c r="D12" s="11" t="str">
        <x:v>Architecture Board / RTEA</x:v>
      </x:c>
      <x:c r="E12" s="11" t="str">
        <x:v>Field evidence and new technology</x:v>
      </x:c>
      <x:c r="F12" s="11" t="str">
        <x:v>No silent break; legacy burden explicit</x:v>
      </x:c>
      <x:c r="G12" s="11" t="str">
        <x:v>Fund adapters or retire deliberately</x:v>
      </x:c>
      <x:c r="H12" s="11" t="str">
        <x:v>Continuous technology refresh</x:v>
      </x:c>
      <x:c r="I12" s="11" t="str">
        <x:v>Renderings versioned to configuration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0" hidden="0" customWidth="1"/>
    <x:col min="3" max="3" width="20" hidden="0" customWidth="1"/>
    <x:col min="4" max="4" width="13" hidden="0" customWidth="1"/>
    <x:col min="5" max="5" width="15" hidden="0" customWidth="1"/>
    <x:col min="6" max="6" width="66" hidden="0" customWidth="1"/>
  </x:cols>
  <x:sheetData>
    <x:row r="1">
      <x:c r="A1" s="49" t="str">
        <x:v>Workbook checks</x:v>
      </x:c>
      <x:c r="B1" s="46"/>
      <x:c r="C1" s="46"/>
      <x:c r="D1" s="46"/>
      <x:c r="E1" s="46"/>
      <x:c r="F1" s="46"/>
    </x:row>
    <x:row r="2">
      <x:c r="A2" s="47" t="str">
        <x:v>Arithmetic and architecture checks. A blocked rendering state is expected because no representative primitive has level-3 evidence.</x:v>
      </x:c>
      <x:c r="B2" s="47"/>
      <x:c r="C2" s="47"/>
      <x:c r="D2" s="47"/>
      <x:c r="E2" s="47"/>
      <x:c r="F2" s="47"/>
    </x:row>
    <x:row r="3" ht="3" customHeight="1">
      <x:c r="A3" s="48"/>
      <x:c r="B3" s="48"/>
      <x:c r="C3" s="48"/>
      <x:c r="D3" s="48"/>
      <x:c r="E3" s="48"/>
      <x:c r="F3" s="48"/>
      <x:c r="G3" s="3"/>
      <x:c r="H3" s="3"/>
      <x:c r="I3" s="3"/>
      <x:c r="J3" s="3"/>
      <x:c r="K3" s="3"/>
      <x:c r="L3" s="3"/>
      <x:c r="M3" s="3"/>
      <x:c r="N3" s="3"/>
    </x:row>
    <x:row r="4">
      <x:c r="A4" s="26"/>
      <x:c r="B4" s="26"/>
      <x:c r="C4" s="26"/>
      <x:c r="D4" s="26"/>
      <x:c r="E4" s="26"/>
      <x:c r="F4" s="26"/>
    </x:row>
    <x:row r="5">
      <x:c r="A5" s="25" t="str">
        <x:v>Check</x:v>
      </x:c>
      <x:c r="B5" s="25" t="str">
        <x:v>Observed</x:v>
      </x:c>
      <x:c r="C5" s="25" t="str">
        <x:v>Expected/limit</x:v>
      </x:c>
      <x:c r="D5" s="25" t="str">
        <x:v>Rule</x:v>
      </x:c>
      <x:c r="E5" s="25" t="str">
        <x:v>Status</x:v>
      </x:c>
      <x:c r="F5" s="25" t="str">
        <x:v>Meaning</x:v>
      </x:c>
    </x:row>
    <x:row r="6">
      <x:c r="A6" s="26" t="str">
        <x:v>Primitive allocation shares</x:v>
      </x:c>
      <x:c r="B6" s="26" t="n">
        <x:f>SUM('Architecture Investment'!B6:B15)</x:f>
        <x:v>1</x:v>
      </x:c>
      <x:c r="C6" s="26" t="n">
        <x:v>1</x:v>
      </x:c>
      <x:c r="D6" s="26" t="str">
        <x:v>EQ</x:v>
      </x:c>
      <x:c r="E6" s="26" t="str">
        <x:f>IF(ABS(B6-C6)&lt;=0.000001,"PASS","FAIL")</x:f>
        <x:v>PASS</x:v>
      </x:c>
      <x:c r="F6" s="11" t="str">
        <x:v>Primitive investment reconciles</x:v>
      </x:c>
    </x:row>
    <x:row r="7">
      <x:c r="A7" s="26" t="str">
        <x:v>Primitive allocation dollars</x:v>
      </x:c>
      <x:c r="B7" s="26" t="n">
        <x:f>SUM('Architecture Investment'!C6:C15)</x:f>
        <x:v>400</x:v>
      </x:c>
      <x:c r="C7" s="26" t="n">
        <x:f>Controls!B8</x:f>
        <x:v>400</x:v>
      </x:c>
      <x:c r="D7" s="26" t="str">
        <x:v>EQ</x:v>
      </x:c>
      <x:c r="E7" s="26" t="str">
        <x:f>IF(ABS(B7-C7)&lt;=0.000001,"PASS","FAIL")</x:f>
        <x:v>PASS</x:v>
      </x:c>
      <x:c r="F7" s="11" t="str">
        <x:v>Primitive dollars equal common envelope</x:v>
      </x:c>
    </x:row>
    <x:row r="8">
      <x:c r="A8" s="26" t="str">
        <x:v>Work-type allocation shares</x:v>
      </x:c>
      <x:c r="B8" s="26" t="n">
        <x:f>SUM('Architecture Investment'!B21:B26)</x:f>
        <x:v>1</x:v>
      </x:c>
      <x:c r="C8" s="26" t="n">
        <x:v>1</x:v>
      </x:c>
      <x:c r="D8" s="26" t="str">
        <x:v>EQ</x:v>
      </x:c>
      <x:c r="E8" s="26" t="str">
        <x:f>IF(ABS(B8-C8)&lt;=0.000001,"PASS","FAIL")</x:f>
        <x:v>PASS</x:v>
      </x:c>
      <x:c r="F8" s="11" t="str">
        <x:v>Work classification reconciles</x:v>
      </x:c>
    </x:row>
    <x:row r="9">
      <x:c r="A9" s="26" t="str">
        <x:v>Work-type allocation dollars</x:v>
      </x:c>
      <x:c r="B9" s="26" t="n">
        <x:f>SUM('Architecture Investment'!C21:C26)</x:f>
        <x:v>400</x:v>
      </x:c>
      <x:c r="C9" s="26" t="n">
        <x:f>Controls!B8</x:f>
        <x:v>400</x:v>
      </x:c>
      <x:c r="D9" s="26" t="str">
        <x:v>EQ</x:v>
      </x:c>
      <x:c r="E9" s="26" t="str">
        <x:f>IF(ABS(B9-C9)&lt;=0.000001,"PASS","FAIL")</x:f>
        <x:v>PASS</x:v>
      </x:c>
      <x:c r="F9" s="11" t="str">
        <x:v>Work dollars equal common envelope</x:v>
      </x:c>
    </x:row>
    <x:row r="10">
      <x:c r="A10" s="26" t="str">
        <x:v>Primitive count</x:v>
      </x:c>
      <x:c r="B10" s="26" t="n">
        <x:f>COUNTA('Architecture Investment'!A6:A15)</x:f>
        <x:v>10</x:v>
      </x:c>
      <x:c r="C10" s="26" t="n">
        <x:v>10</x:v>
      </x:c>
      <x:c r="D10" s="26" t="str">
        <x:v>EQ</x:v>
      </x:c>
      <x:c r="E10" s="26" t="str">
        <x:f>IF(ABS(B10-C10)&lt;=0.000001,"PASS","FAIL")</x:f>
        <x:v>PASS</x:v>
      </x:c>
      <x:c r="F10" s="11" t="str">
        <x:v>Ten Department primitives</x:v>
      </x:c>
    </x:row>
    <x:row r="11">
      <x:c r="A11" s="26" t="str">
        <x:v>Interface count</x:v>
      </x:c>
      <x:c r="B11" s="26" t="n">
        <x:f>COUNTA('Interface Register'!A6:A55)</x:f>
        <x:v>50</x:v>
      </x:c>
      <x:c r="C11" s="26" t="n">
        <x:v>50</x:v>
      </x:c>
      <x:c r="D11" s="26" t="str">
        <x:v>EQ</x:v>
      </x:c>
      <x:c r="E11" s="26" t="str">
        <x:f>IF(ABS(B11-C11)&lt;=0.000001,"PASS","FAIL")</x:f>
        <x:v>PASS</x:v>
      </x:c>
      <x:c r="F11" s="11" t="str">
        <x:v>Five contracts per primitive</x:v>
      </x:c>
    </x:row>
    <x:row r="12">
      <x:c r="A12" s="26" t="str">
        <x:v>System count</x:v>
      </x:c>
      <x:c r="B12" s="26" t="n">
        <x:f>COUNTA('System Register'!A6:A30)</x:f>
        <x:v>25</x:v>
      </x:c>
      <x:c r="C12" s="26" t="n">
        <x:v>25</x:v>
      </x:c>
      <x:c r="D12" s="26" t="str">
        <x:v>EQ</x:v>
      </x:c>
      <x:c r="E12" s="26" t="str">
        <x:f>IF(ABS(B12-C12)&lt;=0.000001,"PASS","FAIL")</x:f>
        <x:v>PASS</x:v>
      </x:c>
      <x:c r="F12" s="11" t="str">
        <x:v>Representative system coverage</x:v>
      </x:c>
    </x:row>
    <x:row r="13">
      <x:c r="A13" s="26" t="str">
        <x:v>Requirement rows</x:v>
      </x:c>
      <x:c r="B13" s="26" t="n">
        <x:f>COUNTA('Requirement Matrix'!A6:A30)</x:f>
        <x:v>25</x:v>
      </x:c>
      <x:c r="C13" s="26" t="n">
        <x:v>25</x:v>
      </x:c>
      <x:c r="D13" s="26" t="str">
        <x:v>EQ</x:v>
      </x:c>
      <x:c r="E13" s="26" t="str">
        <x:f>IF(ABS(B13-C13)&lt;=0.000001,"PASS","FAIL")</x:f>
        <x:v>PASS</x:v>
      </x:c>
      <x:c r="F13" s="11" t="str">
        <x:v>Every system has a role vector</x:v>
      </x:c>
    </x:row>
    <x:row r="14">
      <x:c r="A14" s="26" t="str">
        <x:v>Requirement nonzero</x:v>
      </x:c>
      <x:c r="B14" s="26" t="n">
        <x:f>COUNTIF('Requirement Matrix'!D6:M30,"&gt;0")</x:f>
        <x:v>217</x:v>
      </x:c>
      <x:c r="C14" s="26" t="n">
        <x:v>1</x:v>
      </x:c>
      <x:c r="D14" s="26" t="str">
        <x:v>GE</x:v>
      </x:c>
      <x:c r="E14" s="26" t="str">
        <x:f>IF(B14&gt;=C14,"PASS","FAIL")</x:f>
        <x:v>PASS</x:v>
      </x:c>
      <x:c r="F14" s="11" t="str">
        <x:v>At least one architecture dependency</x:v>
      </x:c>
    </x:row>
    <x:row r="15">
      <x:c r="A15" s="26" t="str">
        <x:v>Critical common modes</x:v>
      </x:c>
      <x:c r="B15" s="26" t="n">
        <x:f>COUNTIF('Failure Propagation'!L6:L37,"CRITICAL")</x:f>
        <x:v>24</x:v>
      </x:c>
      <x:c r="C15" s="26" t="n">
        <x:f>Controls!B12</x:f>
        <x:v>0</x:v>
      </x:c>
      <x:c r="D15" s="26" t="str">
        <x:v>LE</x:v>
      </x:c>
      <x:c r="E15" s="26" t="str">
        <x:f>IF(B15&lt;=C15,"PASS","OPEN")</x:f>
        <x:v>OPEN</x:v>
      </x:c>
      <x:c r="F15" s="11" t="str">
        <x:v>Target is zero before field acceptance</x:v>
      </x:c>
    </x:row>
    <x:row r="16">
      <x:c r="A16" s="26" t="str">
        <x:v>Failure register count</x:v>
      </x:c>
      <x:c r="B16" s="26" t="n">
        <x:f>COUNTA('Failure Propagation'!A6:A37)</x:f>
        <x:v>32</x:v>
      </x:c>
      <x:c r="C16" s="26" t="n">
        <x:v>32</x:v>
      </x:c>
      <x:c r="D16" s="26" t="str">
        <x:v>EQ</x:v>
      </x:c>
      <x:c r="E16" s="26" t="str">
        <x:f>IF(ABS(B16-C16)&lt;=0.000001,"PASS","FAIL")</x:f>
        <x:v>PASS</x:v>
      </x:c>
      <x:c r="F16" s="11" t="str">
        <x:v>Common-mode register populated</x:v>
      </x:c>
    </x:row>
    <x:row r="17">
      <x:c r="A17" s="26" t="str">
        <x:v>Interop trial count</x:v>
      </x:c>
      <x:c r="B17" s="26" t="n">
        <x:f>COUNTA('Interop Trials'!A6:A25)</x:f>
        <x:v>20</x:v>
      </x:c>
      <x:c r="C17" s="26" t="n">
        <x:v>20</x:v>
      </x:c>
      <x:c r="D17" s="26" t="str">
        <x:v>EQ</x:v>
      </x:c>
      <x:c r="E17" s="26" t="str">
        <x:f>IF(ABS(B17-C17)&lt;=0.000001,"PASS","FAIL")</x:f>
        <x:v>PASS</x:v>
      </x:c>
      <x:c r="F17" s="11" t="str">
        <x:v>Cross-system test set populated</x:v>
      </x:c>
    </x:row>
    <x:row r="18">
      <x:c r="A18" s="26" t="str">
        <x:v>Rendering eligible systems</x:v>
      </x:c>
      <x:c r="B18" s="26" t="n">
        <x:f>COUNTIF('Conformance Results'!F6:F30,"ELIGIBLE")</x:f>
        <x:v>0</x:v>
      </x:c>
      <x:c r="C18" s="26" t="n">
        <x:v>0</x:v>
      </x:c>
      <x:c r="D18" s="26" t="str">
        <x:v>EQ</x:v>
      </x:c>
      <x:c r="E18" s="26" t="str">
        <x:f>IF(ABS(B18-C18)&lt;=0.000001,"PASS","FAIL")</x:f>
        <x:v>PASS</x:v>
      </x:c>
      <x:c r="F18" s="11" t="str">
        <x:v>No system bypasses project and architecture gates</x:v>
      </x:c>
    </x:row>
    <x:row r="19">
      <x:c r="A19" s="26" t="str">
        <x:v>Blocked systems</x:v>
      </x:c>
      <x:c r="B19" s="26" t="n">
        <x:f>COUNTIF('Conformance Results'!F6:F30,"BLOCKED")</x:f>
        <x:v>25</x:v>
      </x:c>
      <x:c r="C19" s="26" t="n">
        <x:v>25</x:v>
      </x:c>
      <x:c r="D19" s="26" t="str">
        <x:v>EQ</x:v>
      </x:c>
      <x:c r="E19" s="26" t="str">
        <x:f>IF(ABS(B19-C19)&lt;=0.000001,"PASS","FAIL")</x:f>
        <x:v>PASS</x:v>
      </x:c>
      <x:c r="F19" s="11" t="str">
        <x:v>All current systems remain blocked</x:v>
      </x:c>
    </x:row>
    <x:row r="20">
      <x:c r="A20" s="26" t="str">
        <x:v>Closed interface contracts</x:v>
      </x:c>
      <x:c r="B20" s="26" t="n">
        <x:f>COUNTIF('Interface Register'!N6:N55,"CLOSED")</x:f>
        <x:v>0</x:v>
      </x:c>
      <x:c r="C20" s="26" t="n">
        <x:v>0</x:v>
      </x:c>
      <x:c r="D20" s="26" t="str">
        <x:v>EQ</x:v>
      </x:c>
      <x:c r="E20" s="26" t="str">
        <x:f>IF(ABS(B20-C20)&lt;=0.000001,"PASS","FAIL")</x:f>
        <x:v>PASS</x:v>
      </x:c>
      <x:c r="F20" s="11" t="str">
        <x:v>No speculative contract credited at level 3</x:v>
      </x:c>
    </x:row>
    <x:row r="21">
      <x:c r="A21" s="26" t="str">
        <x:v>Current maturity maximum</x:v>
      </x:c>
      <x:c r="B21" s="26" t="n">
        <x:f>MAX('Architecture Investment'!D6:D15)</x:f>
        <x:v>1</x:v>
      </x:c>
      <x:c r="C21" s="26" t="n">
        <x:v>2</x:v>
      </x:c>
      <x:c r="D21" s="26" t="str">
        <x:v>LE</x:v>
      </x:c>
      <x:c r="E21" s="26" t="str">
        <x:f>IF(B21&lt;=C21,"PASS","OPEN")</x:f>
        <x:v>PASS</x:v>
      </x:c>
      <x:c r="F21" s="11" t="str">
        <x:v>No common primitive above lab-conformance level</x:v>
      </x:c>
    </x:row>
    <x:row r="22">
      <x:c r="A22" s="26" t="str">
        <x:v>Physical band count</x:v>
      </x:c>
      <x:c r="B22" s="26" t="n">
        <x:f>COUNTA('Physical Bands'!A6:A17)</x:f>
        <x:v>12</x:v>
      </x:c>
      <x:c r="C22" s="26" t="n">
        <x:v>12</x:v>
      </x:c>
      <x:c r="D22" s="26" t="str">
        <x:v>EQ</x:v>
      </x:c>
      <x:c r="E22" s="26" t="str">
        <x:f>IF(ABS(B22-C22)&lt;=0.000001,"PASS","FAIL")</x:f>
        <x:v>PASS</x:v>
      </x:c>
      <x:c r="F22" s="11" t="str">
        <x:v>Power, fluid and mechanical envelopes recorded</x:v>
      </x:c>
    </x:row>
    <x:row r="23">
      <x:c r="A23" s="26" t="str">
        <x:v>Source count</x:v>
      </x:c>
      <x:c r="B23" s="26" t="n">
        <x:f>COUNTA(Sources!A6:A17)</x:f>
        <x:v>12</x:v>
      </x:c>
      <x:c r="C23" s="26" t="n">
        <x:v>12</x:v>
      </x:c>
      <x:c r="D23" s="26" t="str">
        <x:v>EQ</x:v>
      </x:c>
      <x:c r="E23" s="26" t="str">
        <x:f>IF(ABS(B23-C23)&lt;=0.000001,"PASS","FAIL")</x:f>
        <x:v>PASS</x:v>
      </x:c>
      <x:c r="F23" s="11" t="str">
        <x:v>Source ledger populated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49" hidden="0" customWidth="1"/>
    <x:col min="3" max="3" width="36" hidden="0" customWidth="1"/>
    <x:col min="4" max="4" width="79" hidden="0" customWidth="1"/>
    <x:col min="5" max="5" width="17" hidden="0" customWidth="1"/>
    <x:col min="6" max="6" width="50" hidden="0" customWidth="1"/>
    <x:col min="7" max="7" width="38" hidden="0" customWidth="1"/>
    <x:col min="8" max="8" width="48" hidden="0" customWidth="1"/>
  </x:cols>
  <x:sheetData>
    <x:row r="1">
      <x:c r="A1" s="49" t="str">
        <x:v>Source and assumption ledger</x:v>
      </x:c>
      <x:c r="B1" s="46"/>
      <x:c r="C1" s="46"/>
      <x:c r="D1" s="46"/>
      <x:c r="E1" s="46"/>
      <x:c r="F1" s="46"/>
      <x:c r="G1" s="46"/>
      <x:c r="H1" s="46"/>
    </x:row>
    <x:row r="2">
      <x:c r="A2" s="47" t="str">
        <x:v>Primary sources support systems-engineering methods and existing standards practice. Department interfaces, levels, bands, roles, costs and thresholds are author hypotheses.</x:v>
      </x:c>
      <x:c r="B2" s="47"/>
      <x:c r="C2" s="47"/>
      <x:c r="D2" s="47"/>
      <x:c r="E2" s="47"/>
      <x:c r="F2" s="47"/>
      <x:c r="G2" s="47"/>
      <x:c r="H2" s="47"/>
    </x:row>
    <x:row r="3" ht="3" customHeight="1">
      <x:c r="A3" s="48"/>
      <x:c r="B3" s="48"/>
      <x:c r="C3" s="48"/>
      <x:c r="D3" s="48"/>
      <x:c r="E3" s="48"/>
      <x:c r="F3" s="48"/>
      <x:c r="G3" s="48"/>
      <x:c r="H3" s="48"/>
      <x:c r="I3" s="3"/>
      <x:c r="J3" s="3"/>
      <x:c r="K3" s="3"/>
      <x:c r="L3" s="3"/>
      <x:c r="M3" s="3"/>
      <x:c r="N3" s="3"/>
    </x:row>
    <x:row r="4">
      <x:c r="A4" s="26"/>
      <x:c r="B4" s="26"/>
      <x:c r="C4" s="26"/>
      <x:c r="D4" s="26"/>
      <x:c r="E4" s="26"/>
      <x:c r="F4" s="26"/>
      <x:c r="G4" s="26"/>
      <x:c r="H4" s="26"/>
    </x:row>
    <x:row r="5">
      <x:c r="A5" s="25" t="str">
        <x:v>ID</x:v>
      </x:c>
      <x:c r="B5" s="25" t="str">
        <x:v>Source</x:v>
      </x:c>
      <x:c r="C5" s="25" t="str">
        <x:v>Institution</x:v>
      </x:c>
      <x:c r="D5" s="25" t="str">
        <x:v>URL</x:v>
      </x:c>
      <x:c r="E5" s="25" t="str">
        <x:v>Accessed</x:v>
      </x:c>
      <x:c r="F5" s="25" t="str">
        <x:v>Supports</x:v>
      </x:c>
      <x:c r="G5" s="25" t="str">
        <x:v>Use</x:v>
      </x:c>
      <x:c r="H5" s="25" t="str">
        <x:v>Caution</x:v>
      </x:c>
    </x:row>
    <x:row r="6">
      <x:c r="A6" s="26" t="str">
        <x:v>S01</x:v>
      </x:c>
      <x:c r="B6" s="11" t="str">
        <x:v>MOSA Reference Frameworks in Defense Acquisition Programs</x:v>
      </x:c>
      <x:c r="C6" s="11" t="str">
        <x:v>U.S. Department of Defense</x:v>
      </x:c>
      <x:c r="D6" s="11" t="str">
        <x:v>https://ac.cto.mil/wp-content/uploads/2020/06/MOSA-Ref-Frame-May2020.pdf</x:v>
      </x:c>
      <x:c r="E6" s="11" t="str">
        <x:v>2026-09-04</x:v>
      </x:c>
      <x:c r="F6" s="11" t="str">
        <x:v>Modular functions, open interfaces, data rights, competition and lifecycle change</x:v>
      </x:c>
      <x:c r="G6" s="11" t="str">
        <x:v>Open architecture method</x:v>
      </x:c>
      <x:c r="H6" s="11" t="str">
        <x:v>Defense context does not determine civil interfaces</x:v>
      </x:c>
    </x:row>
    <x:row r="7">
      <x:c r="A7" s="26" t="str">
        <x:v>S02</x:v>
      </x:c>
      <x:c r="B7" s="11" t="str">
        <x:v>NASA Systems Engineering Handbook, Rev. 2</x:v>
      </x:c>
      <x:c r="C7" s="11" t="str">
        <x:v>NASA</x:v>
      </x:c>
      <x:c r="D7" s="11" t="str">
        <x:v>https://www.nasa.gov/wp-content/uploads/2018/09/nasa_systems_engineering_handbook_0.pdf</x:v>
      </x:c>
      <x:c r="E7" s="11" t="str">
        <x:v>2026-09-04</x:v>
      </x:c>
      <x:c r="F7" s="11" t="str">
        <x:v>Interface management, configuration management, verification and validation across lifecycle</x:v>
      </x:c>
      <x:c r="G7" s="11" t="str">
        <x:v>Systems-engineering method</x:v>
      </x:c>
      <x:c r="H7" s="11" t="str">
        <x:v>Handbook is guidance, not Department specification</x:v>
      </x:c>
    </x:row>
    <x:row r="8">
      <x:c r="A8" s="26" t="str">
        <x:v>S03</x:v>
      </x:c>
      <x:c r="B8" s="11" t="str">
        <x:v>Framework and Roadmap for Smart Grid Interoperability Standards, Release 4.0</x:v>
      </x:c>
      <x:c r="C8" s="11" t="str">
        <x:v>NIST</x:v>
      </x:c>
      <x:c r="D8" s="11" t="str">
        <x:v>https://nvlpubs.nist.gov/nistpubs/SpecialPublications/NIST.SP.1108r4.pdf</x:v>
      </x:c>
      <x:c r="E8" s="11" t="str">
        <x:v>2026-09-04</x:v>
      </x:c>
      <x:c r="F8" s="11" t="str">
        <x:v>Conceptual models, communication paths, profiles, testing and certification</x:v>
      </x:c>
      <x:c r="G8" s="11" t="str">
        <x:v>Physical/digital interoperability method</x:v>
      </x:c>
      <x:c r="H8" s="11" t="str">
        <x:v>Grid-specific; cross-utility extension is proposed</x:v>
      </x:c>
    </x:row>
    <x:row r="9">
      <x:c r="A9" s="26" t="str">
        <x:v>S04</x:v>
      </x:c>
      <x:c r="B9" s="11" t="str">
        <x:v>SP 800-207 Zero Trust Architecture</x:v>
      </x:c>
      <x:c r="C9" s="11" t="str">
        <x:v>NIST</x:v>
      </x:c>
      <x:c r="D9" s="11" t="str">
        <x:v>https://csrc.nist.gov/pubs/sp/800/207/final</x:v>
      </x:c>
      <x:c r="E9" s="11" t="str">
        <x:v>2026-09-04</x:v>
      </x:c>
      <x:c r="F9" s="11" t="str">
        <x:v>Explicit authentication and authorization without location-based implicit trust</x:v>
      </x:c>
      <x:c r="G9" s="11" t="str">
        <x:v>Identity and access architecture</x:v>
      </x:c>
      <x:c r="H9" s="11" t="str">
        <x:v>Enterprise IT baseline requires cyber-physical adaptation</x:v>
      </x:c>
    </x:row>
    <x:row r="10">
      <x:c r="A10" s="26" t="str">
        <x:v>S05</x:v>
      </x:c>
      <x:c r="B10" s="11" t="str">
        <x:v>Artificial Intelligence Risk Management Framework 1.0</x:v>
      </x:c>
      <x:c r="C10" s="11" t="str">
        <x:v>NIST</x:v>
      </x:c>
      <x:c r="D10" s="11" t="str">
        <x:v>https://www.nist.gov/publications/artificial-intelligence-risk-management-framework-ai-rmf-10</x:v>
      </x:c>
      <x:c r="E10" s="11" t="str">
        <x:v>2026-09-04</x:v>
      </x:c>
      <x:c r="F10" s="11" t="str">
        <x:v>Govern, map, measure and manage risks; rights-preserving lifecycle risk</x:v>
      </x:c>
      <x:c r="G10" s="11" t="str">
        <x:v>Model/autonomy assurance</x:v>
      </x:c>
      <x:c r="H10" s="11" t="str">
        <x:v>Voluntary framework; Department acceptance thresholds are proposed</x:v>
      </x:c>
    </x:row>
    <x:row r="11">
      <x:c r="A11" s="26" t="str">
        <x:v>S06</x:v>
      </x:c>
      <x:c r="B11" s="11" t="str">
        <x:v>SP 800-160 Vol. 1 Rev. 1 Engineering Trustworthy Secure Systems</x:v>
      </x:c>
      <x:c r="C11" s="11" t="str">
        <x:v>NIST</x:v>
      </x:c>
      <x:c r="D11" s="11" t="str">
        <x:v>https://csrc.nist.gov/pubs/sp/800/160/v1/r1/final</x:v>
      </x:c>
      <x:c r="E11" s="11" t="str">
        <x:v>2026-09-04</x:v>
      </x:c>
      <x:c r="F11" s="11" t="str">
        <x:v>Systems security engineering across lifecycle and contested environments</x:v>
      </x:c>
      <x:c r="G11" s="11" t="str">
        <x:v>Trustworthy systems method</x:v>
      </x:c>
      <x:c r="H11" s="11" t="str">
        <x:v>Security is one part of public-effect assurance</x:v>
      </x:c>
    </x:row>
    <x:row r="12">
      <x:c r="A12" s="26" t="str">
        <x:v>S07</x:v>
      </x:c>
      <x:c r="B12" s="11" t="str">
        <x:v>Framework for Cyber-Physical Systems, Volume 2</x:v>
      </x:c>
      <x:c r="C12" s="11" t="str">
        <x:v>NIST</x:v>
      </x:c>
      <x:c r="D12" s="11" t="str">
        <x:v>https://nvlpubs.nist.gov/nistpubs/SpecialPublications/NIST.SP.1500-202.pdf</x:v>
      </x:c>
      <x:c r="E12" s="11" t="str">
        <x:v>2026-09-04</x:v>
      </x:c>
      <x:c r="F12" s="11" t="str">
        <x:v>Physical, informational and trustworthiness perspectives for interoperable CPS</x:v>
      </x:c>
      <x:c r="G12" s="11" t="str">
        <x:v>Cross-domain contract structure</x:v>
      </x:c>
      <x:c r="H12" s="11" t="str">
        <x:v>Framework does not select implementation standards</x:v>
      </x:c>
    </x:row>
    <x:row r="13">
      <x:c r="A13" s="26" t="str">
        <x:v>S08</x:v>
      </x:c>
      <x:c r="B13" s="11" t="str">
        <x:v>Digital Thread for Manufacturing</x:v>
      </x:c>
      <x:c r="C13" s="11" t="str">
        <x:v>NIST</x:v>
      </x:c>
      <x:c r="D13" s="11" t="str">
        <x:v>https://www.nist.gov/programs-projects/digital-thread-manufacturing</x:v>
      </x:c>
      <x:c r="E13" s="11" t="str">
        <x:v>2026-09-04</x:v>
      </x:c>
      <x:c r="F13" s="11" t="str">
        <x:v>Product definitions, conformance, traceability, authentication and lifecycle standards</x:v>
      </x:c>
      <x:c r="G13" s="11" t="str">
        <x:v>Industrial digital thread</x:v>
      </x:c>
      <x:c r="H13" s="11" t="str">
        <x:v>Program evidence does not prove field-repair architecture</x:v>
      </x:c>
    </x:row>
    <x:row r="14">
      <x:c r="A14" s="26" t="str">
        <x:v>S09</x:v>
      </x:c>
      <x:c r="B14" s="11" t="str">
        <x:v>Performance of Emergency Response Robots</x:v>
      </x:c>
      <x:c r="C14" s="11" t="str">
        <x:v>NIST</x:v>
      </x:c>
      <x:c r="D14" s="11" t="str">
        <x:v>https://www.nist.gov/programs-projects/performance-emergency-response-robots</x:v>
      </x:c>
      <x:c r="E14" s="11" t="str">
        <x:v>2026-09-04</x:v>
      </x:c>
      <x:c r="F14" s="11" t="str">
        <x:v>Repeatable elemental tests, mission profiles, operator proficiency and statistical confidence</x:v>
      </x:c>
      <x:c r="G14" s="11" t="str">
        <x:v>Autonomy conformance method</x:v>
      </x:c>
      <x:c r="H14" s="11" t="str">
        <x:v>Current tests require extension to heavy multi-domain systems</x:v>
      </x:c>
    </x:row>
    <x:row r="15">
      <x:c r="A15" s="26" t="str">
        <x:v>S10</x:v>
      </x:c>
      <x:c r="B15" s="11" t="str">
        <x:v>National Incident Management System, Third Edition</x:v>
      </x:c>
      <x:c r="C15" s="11" t="str">
        <x:v>FEMA</x:v>
      </x:c>
      <x:c r="D15" s="11" t="str">
        <x:v>https://training.fema.gov/EMIWeb/IS/IS700b/Handouts/National_Incident_Management%20System_Third%20Edition_October_2017.pdf</x:v>
      </x:c>
      <x:c r="E15" s="11" t="str">
        <x:v>2026-09-04</x:v>
      </x:c>
      <x:c r="F15" s="11" t="str">
        <x:v>Common terminology, resource typing, command and interoperability</x:v>
      </x:c>
      <x:c r="G15" s="11" t="str">
        <x:v>Civil command boundary</x:v>
      </x:c>
      <x:c r="H15" s="11" t="str">
        <x:v>Technology interface cannot replace lawful command</x:v>
      </x:c>
    </x:row>
    <x:row r="16">
      <x:c r="A16" s="26" t="str">
        <x:v>S11</x:v>
      </x:c>
      <x:c r="B16" s="11" t="str">
        <x:v>Microgrid Program Strategy</x:v>
      </x:c>
      <x:c r="C16" s="11" t="str">
        <x:v>U.S. Department of Energy</x:v>
      </x:c>
      <x:c r="D16" s="11" t="str">
        <x:v>https://www.energy.gov/oe/microgrid-program-strategy</x:v>
      </x:c>
      <x:c r="E16" s="11" t="str">
        <x:v>2026-09-04</x:v>
      </x:c>
      <x:c r="F16" s="11" t="str">
        <x:v>Adaptive controls, protection, interconnected microgrids, self-healing and firm generation</x:v>
      </x:c>
      <x:c r="G16" s="11" t="str">
        <x:v>Mobile utility research baseline</x:v>
      </x:c>
      <x:c r="H16" s="11" t="str">
        <x:v>Does not establish deployable interface ratings</x:v>
      </x:c>
    </x:row>
    <x:row r="17">
      <x:c r="A17" s="26" t="str">
        <x:v>S12</x:v>
      </x:c>
      <x:c r="B17" s="11" t="str">
        <x:v>Author design-study assumptions</x:v>
      </x:c>
      <x:c r="C17" s="11" t="str">
        <x:v>Disaster Force project</x:v>
      </x:c>
      <x:c r="D17" s="11" t="str">
        <x:v>Internal</x:v>
      </x:c>
      <x:c r="E17" s="11" t="str">
        <x:v>2026-09-04</x:v>
      </x:c>
      <x:c r="F17" s="11" t="str">
        <x:v>Investment shares, maturity, system roles, risk scores, trials, bands and thresholds</x:v>
      </x:c>
      <x:c r="G17" s="11" t="str">
        <x:v>All editable hypotheses</x:v>
      </x:c>
      <x:c r="H17" s="11" t="str">
        <x:v>Not standards, certifications, costs or performance claims</x:v>
      </x:c>
    </x:row>
  </x:sheetData>
  <x:pageMargins left="0.7" right="0.7" top="0.75" bottom="0.75" header="0.3" footer="0.3"/>
</x:worksheet>
</file>